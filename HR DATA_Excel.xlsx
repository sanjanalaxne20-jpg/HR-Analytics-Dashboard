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Ex2.xml" ContentType="application/vnd.ms-office.chartex+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Ex3.xml" ContentType="application/vnd.ms-office.chartex+xml"/>
  <Override PartName="/xl/charts/style14.xml" ContentType="application/vnd.ms-office.chartstyle+xml"/>
  <Override PartName="/xl/charts/colors14.xml" ContentType="application/vnd.ms-office.chartcolorstyle+xml"/>
  <Override PartName="/xl/charts/chart12.xml" ContentType="application/vnd.openxmlformats-officedocument.drawingml.chart+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charts/chartEx4.xml" ContentType="application/vnd.ms-office.chartex+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https://d.docs.live.net/35b0ca70cee8c227/Desktop/sanjana  projects/"/>
    </mc:Choice>
  </mc:AlternateContent>
  <xr:revisionPtr revIDLastSave="10" documentId="8_{116E8FBE-B407-4EFE-97AD-AC2174A87F47}" xr6:coauthVersionLast="47" xr6:coauthVersionMax="47" xr10:uidLastSave="{2FE1EE55-2877-4E4E-B142-9AED5B2E2213}"/>
  <bookViews>
    <workbookView xWindow="-108" yWindow="-108" windowWidth="23256" windowHeight="12456" firstSheet="5" activeTab="9" xr2:uid="{00000000-000D-0000-FFFF-FFFF00000000}"/>
  </bookViews>
  <sheets>
    <sheet name="KPI" sheetId="7" r:id="rId1"/>
    <sheet name="Rating" sheetId="12" r:id="rId2"/>
    <sheet name="Gender" sheetId="13" r:id="rId3"/>
    <sheet name="Education wise Attrition" sheetId="14" r:id="rId4"/>
    <sheet name="Attrition by Job" sheetId="15" r:id="rId5"/>
    <sheet name="Department wise attrition" sheetId="16" r:id="rId6"/>
    <sheet name="Attrition by Age Group" sheetId="17" r:id="rId7"/>
    <sheet name="Marital Status" sheetId="18" r:id="rId8"/>
    <sheet name="Data" sheetId="1" r:id="rId9"/>
    <sheet name="Dashboard" sheetId="11" r:id="rId10"/>
  </sheets>
  <definedNames>
    <definedName name="_xlchart.v1.0" hidden="1">'Attrition by Job'!$D$4:$D$12</definedName>
    <definedName name="_xlchart.v1.1" hidden="1">'Attrition by Job'!$E$4:$E$12</definedName>
    <definedName name="_xlchart.v1.5" hidden="1">'Attrition by Job'!$D$4:$D$12</definedName>
    <definedName name="_xlchart.v1.6" hidden="1">'Attrition by Job'!$E$4:$E$12</definedName>
    <definedName name="_xlchart.v2.2" hidden="1">'Marital Status'!$D$4:$D$6</definedName>
    <definedName name="_xlchart.v2.3" hidden="1">'Marital Status'!$E$3</definedName>
    <definedName name="_xlchart.v2.4" hidden="1">'Marital Status'!$E$4:$E$6</definedName>
    <definedName name="_xlchart.v2.7" hidden="1">'Marital Status'!$D$4:$D$6</definedName>
    <definedName name="_xlchart.v2.8" hidden="1">'Marital Status'!$E$3</definedName>
    <definedName name="_xlchart.v2.9" hidden="1">'Marital Status'!$E$4:$E$6</definedName>
    <definedName name="Slicer_Department">#N/A</definedName>
    <definedName name="Slicer_Education_Field2">#N/A</definedName>
    <definedName name="Slicer_Gender2">#N/A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20" roundtripDataChecksum="0W7NtiAel2xy0cZdwUBcRsMoEuXg6pzXui43o1bypBA="/>
    </ext>
  </extLst>
</workbook>
</file>

<file path=xl/calcChain.xml><?xml version="1.0" encoding="utf-8"?>
<calcChain xmlns="http://schemas.openxmlformats.org/spreadsheetml/2006/main">
  <c r="D4" i="18" l="1"/>
  <c r="D5" i="18"/>
  <c r="D6" i="18"/>
  <c r="D5" i="15"/>
  <c r="D6" i="15"/>
  <c r="D7" i="15"/>
  <c r="D8" i="15"/>
  <c r="D9" i="15"/>
  <c r="D10" i="15"/>
  <c r="D11" i="15"/>
  <c r="D12" i="15"/>
  <c r="D4" i="15"/>
  <c r="E6" i="15"/>
  <c r="B12" i="13"/>
  <c r="B11" i="13"/>
  <c r="A8" i="7"/>
  <c r="E4" i="15"/>
  <c r="E7" i="15"/>
  <c r="B8" i="7"/>
  <c r="E10" i="15"/>
  <c r="E11" i="15"/>
  <c r="B6" i="12"/>
  <c r="E8" i="15"/>
  <c r="C8" i="7"/>
  <c r="E9" i="15"/>
  <c r="E12" i="15"/>
  <c r="E5" i="15"/>
  <c r="E4" i="18"/>
  <c r="E5" i="18"/>
  <c r="E6" i="18"/>
  <c r="C12" i="13" l="1"/>
  <c r="C11" i="13"/>
  <c r="C6" i="12"/>
  <c r="B7" i="12"/>
  <c r="C7" i="12" s="1"/>
  <c r="D8" i="7"/>
  <c r="E8" i="7"/>
</calcChain>
</file>

<file path=xl/sharedStrings.xml><?xml version="1.0" encoding="utf-8"?>
<sst xmlns="http://schemas.openxmlformats.org/spreadsheetml/2006/main" count="19216" uniqueCount="1571">
  <si>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</si>
  <si>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</si>
  <si>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</si>
  <si>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</si>
  <si>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</si>
  <si>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</si>
  <si>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</si>
  <si>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</si>
  <si>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</si>
  <si>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</si>
  <si>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</si>
  <si>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</si>
  <si>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</si>
  <si>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</si>
  <si>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</si>
  <si>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</si>
  <si>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</si>
  <si>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</si>
  <si>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</si>
  <si>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</si>
  <si>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</si>
  <si>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</si>
  <si>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</si>
  <si>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</si>
  <si>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</si>
  <si>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</si>
  <si>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</si>
  <si>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</si>
  <si>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</si>
  <si>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</si>
  <si>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</si>
  <si>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</si>
  <si>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</si>
  <si>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</si>
  <si>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</si>
  <si>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</si>
  <si>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</si>
  <si>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</si>
  <si>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</si>
  <si>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</si>
  <si>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</si>
  <si>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</si>
  <si>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</si>
  <si>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</si>
  <si>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</si>
  <si>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</si>
  <si>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</si>
  <si>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</si>
  <si>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</si>
  <si>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</si>
  <si>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</si>
  <si>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</si>
  <si>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</si>
  <si>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</si>
  <si>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</si>
  <si>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</si>
  <si>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</si>
  <si>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</si>
  <si>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</si>
  <si>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</si>
  <si>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</si>
  <si>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</si>
  <si>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</si>
  <si>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</si>
  <si>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</si>
  <si>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</si>
  <si>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</si>
  <si>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</si>
  <si>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</si>
  <si>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</si>
  <si>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</si>
  <si>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</si>
  <si>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</si>
  <si>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</si>
  <si>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</si>
  <si>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</si>
  <si>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</si>
  <si>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</si>
  <si>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</si>
  <si>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</si>
  <si>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</si>
  <si>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</si>
  <si>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</si>
  <si>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</si>
  <si>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</si>
  <si>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</si>
  <si>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</si>
  <si>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</si>
  <si>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</si>
  <si>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</si>
  <si>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</si>
  <si>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</si>
  <si>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</si>
  <si>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</si>
  <si>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</si>
  <si>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</si>
  <si>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</si>
  <si>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</si>
  <si>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</si>
  <si>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</si>
  <si>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</si>
  <si>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</si>
  <si>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</si>
  <si>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</si>
  <si>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</si>
  <si>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</si>
  <si>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</si>
  <si>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</si>
  <si>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</si>
  <si>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</si>
  <si>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</si>
  <si>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</si>
  <si>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</si>
  <si>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</si>
  <si>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</si>
  <si>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</si>
  <si>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</si>
  <si>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</si>
  <si>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</si>
  <si>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</si>
  <si>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</si>
  <si>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</si>
  <si>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</si>
  <si>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</si>
  <si>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</si>
  <si>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</si>
  <si>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</si>
  <si>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</si>
  <si>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</si>
  <si>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</si>
  <si>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</si>
  <si>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</si>
  <si>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</si>
  <si>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</si>
  <si>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</si>
  <si>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</si>
  <si>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</si>
  <si>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</si>
  <si>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</si>
  <si>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</si>
  <si>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</si>
  <si>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</si>
  <si>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</si>
  <si>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</si>
  <si>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</si>
  <si>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</si>
  <si>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</si>
  <si>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</si>
  <si>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</si>
  <si>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</si>
  <si>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</si>
  <si>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</si>
  <si>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</si>
  <si>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</si>
  <si>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</si>
  <si>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</si>
  <si>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</si>
  <si>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</si>
  <si>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</si>
  <si>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</si>
  <si>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</si>
  <si>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</si>
  <si>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</si>
  <si>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</si>
  <si>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</si>
  <si>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</si>
  <si>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</si>
  <si>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</si>
  <si>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</si>
  <si>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</si>
  <si>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</si>
  <si>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</si>
  <si>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</si>
  <si>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</si>
  <si>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</si>
  <si>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</si>
  <si>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</si>
  <si>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</si>
  <si>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</si>
  <si>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</si>
  <si>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</si>
  <si>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</si>
  <si>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</si>
  <si>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</si>
  <si>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</si>
  <si>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</si>
  <si>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</si>
  <si>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</si>
  <si>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</si>
  <si>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</si>
  <si>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</si>
  <si>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</si>
  <si>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</si>
  <si>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</si>
  <si>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</si>
  <si>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</si>
  <si>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</si>
  <si>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</si>
  <si>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</si>
  <si>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</si>
  <si>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</si>
  <si>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</si>
  <si>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</si>
  <si>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</si>
  <si>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</si>
  <si>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</si>
  <si>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</si>
  <si>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</si>
  <si>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</si>
  <si>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</si>
  <si>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</si>
  <si>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</si>
  <si>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</si>
  <si>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</si>
  <si>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</si>
  <si>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</si>
  <si>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</si>
  <si>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</si>
  <si>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</si>
  <si>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</si>
  <si>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</si>
  <si>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</si>
  <si>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</si>
  <si>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</si>
  <si>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</si>
  <si>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</si>
  <si>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</si>
  <si>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</si>
  <si>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</si>
  <si>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</si>
  <si>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</si>
  <si>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</si>
  <si>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</si>
  <si>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</si>
  <si>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</si>
  <si>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</si>
  <si>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</si>
  <si>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</si>
  <si>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</si>
  <si>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</si>
  <si>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</si>
  <si>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</si>
  <si>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</si>
  <si>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</si>
  <si>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</si>
  <si>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</si>
  <si>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</si>
  <si>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</si>
  <si>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</si>
  <si>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</si>
  <si>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</si>
  <si>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</si>
  <si>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</si>
  <si>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</si>
  <si>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</si>
  <si>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</si>
  <si>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</si>
  <si>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</si>
  <si>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</si>
  <si>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</si>
  <si>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</si>
  <si>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</si>
  <si>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</si>
  <si>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</si>
  <si>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</si>
  <si>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</si>
  <si>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</si>
  <si>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</si>
  <si>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</si>
  <si>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</si>
  <si>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</si>
  <si>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</si>
  <si>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</si>
  <si>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</si>
  <si>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</si>
  <si>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</si>
  <si>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</si>
  <si>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</si>
  <si>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</si>
  <si>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</si>
  <si>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</si>
  <si>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</si>
  <si>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</si>
  <si>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</si>
  <si>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</si>
  <si>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</si>
  <si>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</si>
  <si>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</si>
  <si>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</si>
  <si>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</si>
  <si>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</si>
  <si>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</si>
  <si>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</si>
  <si>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</si>
  <si>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</si>
  <si>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</si>
  <si>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</si>
  <si>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</si>
  <si>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</si>
  <si>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</si>
  <si>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</si>
  <si>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</si>
  <si>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</si>
  <si>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</si>
  <si>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</si>
  <si>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</si>
  <si>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</si>
  <si>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</si>
  <si>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</si>
  <si>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</si>
  <si>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</si>
  <si>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</si>
  <si>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</si>
  <si>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</si>
  <si>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</si>
  <si>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</si>
  <si>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</si>
  <si>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</si>
  <si>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</si>
  <si>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</si>
  <si>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</si>
  <si>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</si>
  <si>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</si>
  <si>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</si>
  <si>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</si>
  <si>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</si>
  <si>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</si>
  <si>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</si>
  <si>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</si>
  <si>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</si>
  <si>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</si>
  <si>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</si>
  <si>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</si>
  <si>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</si>
  <si>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</si>
  <si>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</si>
  <si>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</si>
  <si>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</si>
  <si>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</si>
  <si>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</si>
  <si>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</si>
  <si>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</si>
  <si>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</si>
  <si>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</si>
  <si>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</si>
  <si>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</si>
  <si>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</si>
  <si>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</si>
  <si>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</si>
  <si>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</si>
  <si>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</si>
  <si>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</si>
  <si>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</si>
  <si>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</si>
  <si>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</si>
  <si>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</si>
  <si>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</si>
  <si>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</si>
  <si>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</si>
  <si>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</si>
  <si>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</si>
  <si>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</si>
  <si>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</si>
  <si>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</si>
  <si>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</si>
  <si>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</si>
  <si>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</si>
  <si>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</si>
  <si>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</si>
  <si>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</si>
  <si>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</si>
  <si>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</si>
  <si>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</si>
  <si>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</si>
  <si>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</si>
  <si>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</si>
  <si>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</si>
  <si>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</si>
  <si>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</si>
  <si>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</si>
  <si>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</si>
  <si>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</si>
  <si>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</si>
  <si>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</si>
  <si>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</si>
  <si>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</si>
  <si>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</si>
  <si>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</si>
  <si>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</si>
  <si>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</si>
  <si>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</si>
  <si>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</si>
  <si>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</si>
  <si>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</si>
  <si>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</si>
  <si>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</si>
  <si>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</si>
  <si>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</si>
  <si>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</si>
  <si>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</si>
  <si>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</si>
  <si>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</si>
  <si>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</si>
  <si>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</si>
  <si>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</si>
  <si>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</si>
  <si>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</si>
  <si>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</si>
  <si>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</si>
  <si>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</si>
  <si>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</si>
  <si>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</si>
  <si>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</si>
  <si>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</si>
  <si>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</si>
  <si>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</si>
  <si>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</si>
  <si>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</si>
  <si>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</si>
  <si>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</si>
  <si>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</si>
  <si>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</si>
  <si>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</si>
  <si>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</si>
  <si>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</si>
  <si>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</si>
  <si>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</si>
  <si>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</si>
  <si>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</si>
  <si>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</si>
  <si>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</si>
  <si>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</si>
  <si>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</si>
  <si>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</si>
  <si>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</si>
  <si>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</si>
  <si>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</si>
  <si>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</si>
  <si>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</si>
  <si>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</si>
  <si>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</si>
  <si>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</si>
  <si>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</si>
  <si>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</si>
  <si>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</si>
  <si>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</si>
  <si>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</si>
  <si>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</si>
  <si>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</si>
  <si>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</si>
  <si>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</si>
  <si>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</si>
  <si>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</si>
  <si>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</si>
  <si>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</si>
  <si>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</si>
  <si>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</si>
  <si>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</si>
  <si>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</si>
  <si>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</si>
  <si>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</si>
  <si>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</si>
  <si>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</si>
  <si>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</si>
  <si>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</si>
  <si>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</si>
  <si>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</si>
  <si>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</si>
  <si>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</si>
  <si>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</si>
  <si>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</si>
  <si>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</si>
  <si>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</si>
  <si>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</si>
  <si>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</si>
  <si>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</si>
  <si>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</si>
  <si>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</si>
  <si>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</si>
  <si>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</si>
  <si>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</si>
  <si>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</si>
  <si>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</si>
  <si>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</si>
  <si>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</si>
  <si>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</si>
  <si>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</si>
  <si>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</si>
  <si>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</si>
  <si>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</si>
  <si>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</si>
  <si>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</si>
  <si>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</si>
  <si>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</si>
  <si>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</si>
  <si>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</si>
  <si>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</si>
  <si>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</si>
  <si>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</si>
  <si>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</si>
  <si>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</si>
  <si>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</si>
  <si>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</si>
  <si>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</si>
  <si>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</si>
  <si>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</si>
  <si>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</si>
  <si>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</si>
  <si>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</si>
  <si>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</si>
  <si>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</si>
  <si>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</si>
  <si>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</si>
  <si>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</si>
  <si>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</si>
  <si>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</si>
  <si>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</si>
  <si>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</si>
  <si>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</si>
  <si>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</si>
  <si>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</si>
  <si>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</si>
  <si>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</si>
  <si>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</si>
  <si>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</si>
  <si>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</si>
  <si>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</si>
  <si>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</si>
  <si>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</si>
  <si>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</si>
  <si>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</si>
  <si>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</si>
  <si>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</si>
  <si>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</si>
  <si>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</si>
  <si>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</si>
  <si>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</si>
  <si>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</si>
  <si>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</si>
  <si>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</si>
  <si>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</si>
  <si>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</si>
  <si>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</si>
  <si>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</si>
  <si>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</si>
  <si>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</si>
  <si>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</si>
  <si>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</si>
  <si>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</si>
  <si>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</si>
  <si>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</si>
  <si>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</si>
  <si>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</si>
  <si>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</si>
  <si>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</si>
  <si>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</si>
  <si>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</si>
  <si>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</si>
  <si>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</si>
  <si>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</si>
  <si>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</si>
  <si>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</si>
  <si>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</si>
  <si>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</si>
  <si>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</si>
  <si>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</si>
  <si>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</si>
  <si>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</si>
  <si>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</si>
  <si>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</si>
  <si>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</si>
  <si>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</si>
  <si>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</si>
  <si>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</si>
  <si>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</si>
  <si>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</si>
  <si>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</si>
  <si>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</si>
  <si>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</si>
  <si>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</si>
  <si>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</si>
  <si>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</si>
  <si>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</si>
  <si>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</si>
  <si>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</si>
  <si>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</si>
  <si>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</si>
  <si>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</si>
  <si>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</si>
  <si>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</si>
  <si>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</si>
  <si>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</si>
  <si>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</si>
  <si>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</si>
  <si>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</si>
  <si>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</si>
  <si>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</si>
  <si>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</si>
  <si>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</si>
  <si>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</si>
  <si>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</si>
  <si>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</si>
  <si>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</si>
  <si>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</si>
  <si>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</si>
  <si>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</si>
  <si>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</si>
  <si>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</si>
  <si>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</si>
  <si>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</si>
  <si>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</si>
  <si>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</si>
  <si>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</si>
  <si>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</si>
  <si>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</si>
  <si>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</si>
  <si>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</si>
  <si>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</si>
  <si>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</si>
  <si>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</si>
  <si>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</si>
  <si>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</si>
  <si>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</si>
  <si>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</si>
  <si>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</si>
  <si>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</si>
  <si>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</si>
  <si>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</si>
  <si>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</si>
  <si>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</si>
  <si>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</si>
  <si>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</si>
  <si>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</si>
  <si>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</si>
  <si>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</si>
  <si>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</si>
  <si>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</si>
  <si>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</si>
  <si>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</si>
  <si>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</si>
  <si>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</si>
  <si>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</si>
  <si>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</si>
  <si>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</si>
  <si>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</si>
  <si>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</si>
  <si>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</si>
  <si>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</si>
  <si>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</si>
  <si>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</si>
  <si>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</si>
  <si>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</si>
  <si>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</si>
  <si>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</si>
  <si>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</si>
  <si>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</si>
  <si>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</si>
  <si>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</si>
  <si>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</si>
  <si>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</si>
  <si>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</si>
  <si>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</si>
  <si>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</si>
  <si>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</si>
  <si>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</si>
  <si>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</si>
  <si>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</si>
  <si>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</si>
  <si>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</si>
  <si>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</si>
  <si>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</si>
  <si>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</si>
  <si>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</si>
  <si>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</si>
  <si>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</si>
  <si>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</si>
  <si>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</si>
  <si>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</si>
  <si>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</si>
  <si>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</si>
  <si>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</si>
  <si>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</si>
  <si>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</si>
  <si>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</si>
  <si>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</si>
  <si>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</si>
  <si>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</si>
  <si>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</si>
  <si>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</si>
  <si>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</si>
  <si>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</si>
  <si>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</si>
  <si>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</si>
  <si>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</si>
  <si>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</si>
  <si>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</si>
  <si>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</si>
  <si>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</si>
  <si>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</si>
  <si>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</si>
  <si>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</si>
  <si>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</si>
  <si>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</si>
  <si>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</si>
  <si>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</si>
  <si>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</si>
  <si>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</si>
  <si>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</si>
  <si>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</si>
  <si>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</si>
  <si>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</si>
  <si>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</si>
  <si>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</si>
  <si>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</si>
  <si>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</si>
  <si>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</si>
  <si>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</si>
  <si>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</si>
  <si>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</si>
  <si>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</si>
  <si>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</si>
  <si>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</si>
  <si>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</si>
  <si>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</si>
  <si>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</si>
  <si>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</si>
  <si>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</si>
  <si>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</si>
  <si>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</si>
  <si>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</si>
  <si>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</si>
  <si>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</si>
  <si>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</si>
  <si>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</si>
  <si>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</si>
  <si>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</si>
  <si>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</si>
  <si>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</si>
  <si>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</si>
  <si>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</si>
  <si>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</si>
  <si>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</si>
  <si>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</si>
  <si>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</si>
  <si>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</si>
  <si>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</si>
  <si>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</si>
  <si>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</si>
  <si>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</si>
  <si>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</si>
  <si>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</si>
  <si>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</si>
  <si>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</si>
  <si>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</si>
  <si>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</si>
  <si>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</si>
  <si>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</si>
  <si>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</si>
  <si>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</si>
  <si>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</si>
  <si>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</si>
  <si>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</si>
  <si>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</si>
  <si>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</si>
  <si>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</si>
  <si>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</si>
  <si>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</si>
  <si>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</si>
  <si>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</si>
  <si>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</si>
  <si>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</si>
  <si>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</si>
  <si>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</si>
  <si>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</si>
  <si>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</si>
  <si>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</si>
  <si>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</si>
  <si>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</si>
  <si>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</si>
  <si>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</si>
  <si>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</si>
  <si>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</si>
  <si>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</si>
  <si>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</si>
  <si>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</si>
  <si>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</si>
  <si>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</si>
  <si>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</si>
  <si>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</si>
  <si>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</si>
  <si>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</si>
  <si>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</si>
  <si>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</si>
  <si>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</si>
  <si>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</si>
  <si>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</si>
  <si>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</si>
  <si>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</si>
  <si>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</si>
  <si>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</si>
  <si>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</si>
  <si>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</si>
  <si>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</si>
  <si>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</si>
  <si>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</si>
  <si>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</si>
  <si>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</si>
  <si>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</si>
  <si>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</si>
  <si>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</si>
  <si>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</si>
  <si>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</si>
  <si>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</si>
  <si>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</si>
  <si>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</si>
  <si>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</si>
  <si>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</si>
  <si>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</si>
  <si>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</si>
  <si>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</si>
  <si>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</si>
  <si>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</si>
  <si>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</si>
  <si>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</si>
  <si>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</si>
  <si>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</si>
  <si>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</si>
  <si>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</si>
  <si>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</si>
  <si>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</si>
  <si>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</si>
  <si>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</si>
  <si>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</si>
  <si>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</si>
  <si>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</si>
  <si>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</si>
  <si>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</si>
  <si>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</si>
  <si>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</si>
  <si>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</si>
  <si>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</si>
  <si>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</si>
  <si>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</si>
  <si>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</si>
  <si>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</si>
  <si>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</si>
  <si>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</si>
  <si>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</si>
  <si>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</si>
  <si>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</si>
  <si>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</si>
  <si>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</si>
  <si>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</si>
  <si>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</si>
  <si>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</si>
  <si>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</si>
  <si>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</si>
  <si>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</si>
  <si>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</si>
  <si>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</si>
  <si>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</si>
  <si>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</si>
  <si>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</si>
  <si>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</si>
  <si>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</si>
  <si>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</si>
  <si>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</si>
  <si>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</si>
  <si>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</si>
  <si>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</si>
  <si>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</si>
  <si>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</si>
  <si>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</si>
  <si>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</si>
  <si>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</si>
  <si>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</si>
  <si>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</si>
  <si>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</si>
  <si>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</si>
  <si>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</si>
  <si>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</si>
  <si>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</si>
  <si>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</si>
  <si>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</si>
  <si>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</si>
  <si>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</si>
  <si>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</si>
  <si>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</si>
  <si>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</si>
  <si>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</si>
  <si>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</si>
  <si>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</si>
  <si>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</si>
  <si>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</si>
  <si>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</si>
  <si>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</si>
  <si>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</si>
  <si>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</si>
  <si>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</si>
  <si>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</si>
  <si>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</si>
  <si>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</si>
  <si>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</si>
  <si>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</si>
  <si>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</si>
  <si>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</si>
  <si>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</si>
  <si>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</si>
  <si>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</si>
  <si>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</si>
  <si>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</si>
  <si>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</si>
  <si>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</si>
  <si>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</si>
  <si>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</si>
  <si>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</si>
  <si>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</si>
  <si>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</si>
  <si>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</si>
  <si>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</si>
  <si>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</si>
  <si>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</si>
  <si>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</si>
  <si>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</si>
  <si>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</si>
  <si>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</si>
  <si>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</si>
  <si>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</si>
  <si>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</si>
  <si>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</si>
  <si>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</si>
  <si>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</si>
  <si>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</si>
  <si>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</si>
  <si>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</si>
  <si>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</si>
  <si>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</si>
  <si>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</si>
  <si>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</si>
  <si>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</si>
  <si>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</si>
  <si>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</si>
  <si>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</si>
  <si>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</si>
  <si>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</si>
  <si>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</si>
  <si>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</si>
  <si>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</si>
  <si>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</si>
  <si>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</si>
  <si>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</si>
  <si>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</si>
  <si>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</si>
  <si>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</si>
  <si>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</si>
  <si>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</si>
  <si>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</si>
  <si>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</si>
  <si>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</si>
  <si>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</si>
  <si>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</si>
  <si>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</si>
  <si>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</si>
  <si>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</si>
  <si>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</si>
  <si>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</si>
  <si>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</si>
  <si>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</si>
  <si>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</si>
  <si>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</si>
  <si>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</si>
  <si>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</si>
  <si>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</si>
  <si>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</si>
  <si>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</si>
  <si>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</si>
  <si>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</si>
  <si>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</si>
  <si>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</si>
  <si>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</si>
  <si>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</si>
  <si>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</si>
  <si>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</si>
  <si>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</si>
  <si>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</si>
  <si>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</si>
  <si>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</si>
  <si>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</si>
  <si>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</si>
  <si>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</si>
  <si>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</si>
  <si>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</si>
  <si>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</si>
  <si>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</si>
  <si>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</si>
  <si>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</si>
  <si>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</si>
  <si>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</si>
  <si>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</si>
  <si>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</si>
  <si>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</si>
  <si>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</si>
  <si>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</si>
  <si>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</si>
  <si>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</si>
  <si>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</si>
  <si>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</si>
  <si>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</si>
  <si>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</si>
  <si>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</si>
  <si>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</si>
  <si>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</si>
  <si>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</si>
  <si>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</si>
  <si>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</si>
  <si>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</si>
  <si>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</si>
  <si>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</si>
  <si>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</si>
  <si>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</si>
  <si>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</si>
  <si>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</si>
  <si>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</si>
  <si>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</si>
  <si>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</si>
  <si>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</si>
  <si>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</si>
  <si>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</si>
  <si>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</si>
  <si>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</si>
  <si>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</si>
  <si>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</si>
  <si>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</si>
  <si>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</si>
  <si>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</si>
  <si>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</si>
  <si>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</si>
  <si>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</si>
  <si>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</si>
  <si>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</si>
  <si>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</si>
  <si>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</si>
  <si>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</si>
  <si>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</si>
  <si>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</si>
  <si>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</si>
  <si>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</si>
  <si>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</si>
  <si>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</si>
  <si>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</si>
  <si>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</si>
  <si>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</si>
  <si>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</si>
  <si>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</si>
  <si>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</si>
  <si>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</si>
  <si>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</si>
  <si>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</si>
  <si>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</si>
  <si>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</si>
  <si>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</si>
  <si>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</si>
  <si>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</si>
  <si>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</si>
  <si>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</si>
  <si>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</si>
  <si>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</si>
  <si>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</si>
  <si>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</si>
  <si>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</si>
  <si>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</si>
  <si>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</si>
  <si>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</si>
  <si>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</si>
  <si>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</si>
  <si>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</si>
  <si>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</si>
  <si>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</si>
  <si>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</si>
  <si>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</si>
  <si>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</si>
  <si>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</si>
  <si>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</si>
  <si>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</si>
  <si>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</si>
  <si>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</si>
  <si>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</si>
  <si>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</si>
  <si>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</si>
  <si>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</si>
  <si>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</si>
  <si>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</si>
  <si>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</si>
  <si>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</si>
  <si>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</si>
  <si>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</si>
  <si>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</si>
  <si>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</si>
  <si>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</si>
  <si>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</si>
  <si>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</si>
  <si>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</si>
  <si>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</si>
  <si>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</si>
  <si>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</si>
  <si>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</si>
  <si>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</si>
  <si>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</si>
  <si>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</si>
  <si>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</si>
  <si>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</si>
  <si>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</si>
  <si>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</si>
  <si>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</si>
  <si>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</si>
  <si>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</si>
  <si>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</si>
  <si>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</si>
  <si>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</si>
  <si>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</si>
  <si>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</si>
  <si>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</si>
  <si>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</si>
  <si>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</si>
  <si>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</si>
  <si>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</si>
  <si>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</si>
  <si>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</si>
  <si>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</si>
  <si>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</si>
  <si>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</si>
  <si>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</si>
  <si>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</si>
  <si>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</si>
  <si>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</si>
  <si>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</si>
  <si>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</si>
  <si>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</si>
  <si>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</si>
  <si>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</si>
  <si>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</si>
  <si>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</si>
  <si>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</si>
  <si>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</si>
  <si>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</si>
  <si>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</si>
  <si>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</si>
  <si>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</si>
  <si>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</si>
  <si>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</si>
  <si>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</si>
  <si>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</si>
  <si>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</si>
  <si>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</si>
  <si>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</si>
  <si>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</si>
  <si>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</si>
  <si>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</si>
  <si>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</si>
  <si>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</si>
  <si>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</si>
  <si>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</si>
  <si>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</si>
  <si>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</si>
  <si>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</si>
  <si>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</si>
  <si>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</si>
  <si>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</si>
  <si>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</si>
  <si>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</si>
  <si>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</si>
  <si>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</si>
  <si>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</si>
  <si>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</si>
  <si>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</si>
  <si>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</si>
  <si>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</si>
  <si>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</si>
  <si>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</si>
  <si>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</si>
  <si>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</si>
  <si>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</si>
  <si>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</si>
  <si>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</si>
  <si>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</si>
  <si>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</si>
  <si>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</si>
  <si>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</si>
  <si>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</si>
  <si>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</si>
  <si>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</si>
  <si>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</si>
  <si>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</si>
  <si>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</si>
  <si>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</si>
  <si>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</si>
  <si>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</si>
  <si>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</si>
  <si>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</si>
  <si>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</si>
  <si>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</si>
  <si>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</si>
  <si>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</si>
  <si>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</si>
  <si>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</si>
  <si>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</si>
  <si>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</si>
  <si>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</si>
  <si>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</si>
  <si>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</si>
  <si>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</si>
  <si>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</si>
  <si>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</si>
  <si>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</si>
  <si>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</si>
  <si>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</si>
  <si>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</si>
  <si>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</si>
  <si>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</si>
  <si>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</si>
  <si>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</si>
  <si>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</si>
  <si>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</si>
  <si>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</si>
  <si>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</si>
  <si>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</si>
  <si>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</si>
  <si>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</si>
  <si>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</si>
  <si>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</si>
  <si>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</si>
  <si>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</si>
  <si>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</si>
  <si>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</si>
  <si>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</si>
  <si>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</si>
  <si>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</si>
  <si>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</si>
  <si>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</si>
  <si>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</si>
  <si>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</si>
  <si>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</si>
  <si>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</si>
  <si>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</si>
  <si>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</si>
  <si>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</si>
  <si>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</si>
  <si>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</si>
  <si>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</si>
  <si>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</si>
  <si>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</si>
  <si>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</si>
  <si>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</si>
  <si>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</si>
  <si>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</si>
  <si>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</si>
  <si>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</si>
  <si>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</si>
  <si>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</si>
  <si>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</si>
  <si>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</si>
  <si>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</si>
  <si>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</si>
  <si>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</si>
  <si>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</si>
  <si>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</si>
  <si>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</si>
  <si>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</si>
  <si>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</si>
  <si>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</si>
  <si>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</si>
  <si>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</si>
  <si>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</si>
  <si>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</si>
  <si>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</si>
  <si>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</si>
  <si>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</si>
  <si>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</si>
  <si>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</si>
  <si>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</si>
  <si>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</si>
  <si>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</si>
  <si>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</si>
  <si>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</si>
  <si>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</si>
  <si>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</si>
  <si>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</si>
  <si>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</si>
  <si>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</si>
  <si>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</si>
  <si>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</si>
  <si>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</si>
  <si>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</si>
  <si>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</si>
  <si>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</si>
  <si>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</si>
  <si>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</si>
  <si>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</si>
  <si>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</si>
  <si>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</si>
  <si>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</si>
  <si>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</si>
  <si>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</si>
  <si>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</si>
  <si>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</si>
  <si>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</si>
  <si>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</si>
  <si>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</si>
  <si>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</si>
  <si>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</si>
  <si>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</si>
  <si>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</si>
  <si>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</si>
  <si>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</si>
  <si>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</si>
  <si>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</si>
  <si>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</si>
  <si>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</si>
  <si>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</si>
  <si>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</si>
  <si>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</si>
  <si>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</si>
  <si>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</si>
  <si>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</si>
  <si>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</si>
  <si>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</si>
  <si>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</si>
  <si>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</si>
  <si>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</si>
  <si>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</si>
  <si>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</si>
  <si>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</si>
  <si>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</si>
  <si>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</si>
  <si>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</si>
  <si>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</si>
  <si>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</si>
  <si>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</si>
  <si>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</si>
  <si>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</si>
  <si>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</si>
  <si>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</si>
  <si>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</si>
  <si>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</si>
  <si>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</si>
  <si>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</si>
  <si>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</si>
  <si>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</si>
  <si>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</si>
  <si>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</si>
  <si>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</si>
  <si>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</si>
  <si>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</si>
  <si>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</si>
  <si>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</si>
  <si>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</si>
  <si>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</si>
  <si>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</si>
  <si>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</si>
  <si>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</si>
  <si>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</si>
  <si>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</si>
  <si>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</si>
  <si>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</si>
  <si>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</si>
  <si>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</si>
  <si>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</si>
  <si>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</si>
  <si>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</si>
  <si>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</si>
  <si>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</si>
  <si>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</si>
  <si>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</si>
  <si>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</si>
  <si>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</si>
  <si>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</si>
  <si>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</si>
  <si>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</si>
  <si>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</si>
  <si>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</si>
  <si>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</si>
  <si>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</si>
  <si>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</si>
  <si>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</si>
  <si>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</si>
  <si>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</si>
  <si>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</si>
  <si>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</si>
  <si>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</si>
  <si>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</si>
  <si>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</si>
  <si>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</si>
  <si>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</si>
  <si>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</si>
  <si>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</si>
  <si>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</si>
  <si>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</si>
  <si>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</si>
  <si>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</si>
  <si>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</si>
  <si>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</si>
  <si>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</si>
  <si>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</si>
  <si>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</si>
  <si>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</si>
  <si>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</si>
  <si>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</si>
  <si>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</si>
  <si>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</si>
  <si>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</si>
  <si>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</si>
  <si>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</si>
  <si>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</si>
  <si>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</si>
  <si>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</si>
  <si>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</si>
  <si>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</si>
  <si>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</si>
  <si>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</si>
  <si>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</si>
  <si>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</si>
  <si>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</si>
  <si>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</si>
  <si>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</si>
  <si>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</si>
  <si>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</si>
  <si>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</si>
  <si>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</si>
  <si>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</si>
  <si>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</si>
  <si>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</si>
  <si>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</si>
  <si>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</si>
  <si>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</si>
  <si>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</si>
  <si>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</si>
  <si>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</si>
  <si>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</si>
  <si>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</si>
  <si>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</si>
  <si>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</si>
  <si>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</si>
  <si>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</si>
  <si>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</si>
  <si>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</si>
  <si>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</si>
  <si>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</si>
  <si>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</si>
  <si>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</si>
  <si>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</si>
  <si>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</si>
  <si>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</si>
  <si>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</si>
  <si>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</si>
  <si>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</si>
  <si>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</si>
  <si>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</si>
  <si>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</si>
  <si>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</si>
  <si>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</si>
  <si>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</si>
  <si>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</si>
  <si>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</si>
  <si>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</si>
  <si>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</si>
  <si>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</si>
  <si>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</si>
  <si>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</si>
  <si>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</si>
  <si>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</si>
  <si>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</si>
  <si>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</si>
  <si>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</si>
  <si>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</si>
  <si>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</si>
  <si>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</si>
  <si>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</si>
  <si>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</si>
  <si>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</si>
  <si>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</si>
  <si>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</si>
  <si>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</si>
  <si>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</si>
  <si>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</si>
  <si>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</si>
  <si>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</si>
  <si>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</si>
  <si>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</si>
  <si>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</si>
  <si>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</si>
  <si>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</si>
  <si>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</si>
  <si>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</si>
  <si>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</si>
  <si>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</si>
  <si>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</si>
  <si>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</si>
  <si>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</si>
  <si>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</si>
  <si>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</si>
  <si>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</si>
  <si>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</si>
  <si>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</si>
  <si>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</si>
  <si>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</si>
  <si>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</si>
  <si>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</si>
  <si>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</si>
  <si>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</si>
  <si>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</si>
  <si>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</si>
  <si>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</si>
  <si>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</si>
  <si>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</si>
  <si>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</si>
  <si>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</si>
  <si>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</si>
  <si>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</si>
  <si>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</si>
  <si>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</si>
  <si>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</si>
  <si>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</si>
  <si>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</si>
  <si>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</si>
  <si>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</si>
  <si>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</si>
  <si>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</si>
  <si>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</si>
  <si>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</si>
  <si>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</si>
  <si>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</si>
  <si>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</si>
  <si>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</si>
  <si>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</si>
  <si>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</si>
  <si>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</si>
  <si>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</si>
  <si>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</si>
  <si>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</si>
  <si>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</si>
  <si>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</si>
  <si>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</si>
  <si>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</si>
  <si>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</si>
  <si>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</si>
  <si>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</si>
  <si>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</si>
  <si>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</si>
  <si>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</si>
  <si>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</si>
  <si>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</si>
  <si>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</si>
  <si>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</si>
  <si>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</si>
  <si>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Count of Employee Number</t>
  </si>
  <si>
    <t>Sum of CF_attrition count</t>
  </si>
  <si>
    <t>Average of Age</t>
  </si>
  <si>
    <t>Total Employee</t>
  </si>
  <si>
    <t>Attrition Count</t>
  </si>
  <si>
    <t>Average Age</t>
  </si>
  <si>
    <t>Active Employees</t>
  </si>
  <si>
    <t>Attrition Rate</t>
  </si>
  <si>
    <t>Average of Job Satisfaction</t>
  </si>
  <si>
    <t>Rating</t>
  </si>
  <si>
    <t>Balance Rating</t>
  </si>
  <si>
    <t>Row Labels</t>
  </si>
  <si>
    <t>Grand Total</t>
  </si>
  <si>
    <t>Count of Employee Count</t>
  </si>
  <si>
    <t>job Role</t>
  </si>
  <si>
    <t>Attritions</t>
  </si>
  <si>
    <t>Count of Attrition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</si>
</sst>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 x14ac:knownFonts="1">
    <font>
      <sz val="12"/>
      <color theme="1"/>
      <name val="Calibri"/>
      <scheme val="minor"/>
    </font>
    <font>
      <sz val="12"/>
      <color theme="1"/>
      <name val="Calibri"/>
      <scheme val="minor"/>
    </font>
  </fonts>
  <fills count="3">
    <fill>
      <patternFill patternType="none"/>
    </fill>
    <fill>
      <patternFill patternType="gray125"/>
    </fill>
    <fill>
      <patternFill patternType="solid">
        <fgColor theme="2" tint="-0.14999847407452621"/>
        <bgColor indexed="64"/>
      </patternFill>
    </fill>
  </fills>
  <borders count="21">
    <border>
      <left/>
      <right/>
      <top/>
      <bottom/>
      <diagonal/>
    </border>
    <border>
      <left style="thin">
        <color rgb="FFABABAB"/>
      </left>
      <right/>
      <top style="thin">
        <color rgb="FFABABAB"/>
      </top>
      <bottom/>
      <diagonal/>
    </border>
    <border>
      <left/>
      <right style="thin">
        <color rgb="FFABABAB"/>
      </right>
      <top style="thin">
        <color rgb="FFABABAB"/>
      </top>
      <bottom/>
      <diagonal/>
    </border>
    <border>
      <left style="thin">
        <color rgb="FFABABAB"/>
      </left>
      <right/>
      <top style="thin">
        <color rgb="FFABABAB"/>
      </top>
      <bottom style="thin">
        <color rgb="FFABABAB"/>
      </bottom>
      <diagonal/>
    </border>
    <border>
      <left/>
      <right style="thin">
        <color rgb="FFABABAB"/>
      </right>
      <top style="thin">
        <color rgb="FFABABAB"/>
      </top>
      <bottom style="thin">
        <color rgb="FFABABAB"/>
      </bottom>
      <diagonal/>
    </border>
    <border>
      <left/>
      <right/>
      <top style="thin">
        <color rgb="FFABABAB"/>
      </top>
      <bottom/>
      <diagonal/>
    </border>
    <border>
      <left/>
      <right/>
      <top style="thin">
        <color rgb="FFABABAB"/>
      </top>
      <bottom style="thin">
        <color rgb="FFABABAB"/>
      </bottom>
      <diagonal/>
    </border>
    <border>
      <left style="thin">
        <color rgb="FFABABAB"/>
      </left>
      <right style="thin">
        <color rgb="FFABABAB"/>
      </right>
      <top style="thin">
        <color rgb="FFABABAB"/>
      </top>
      <bottom/>
      <diagonal/>
    </border>
    <border>
      <left style="thin">
        <color rgb="FFABABAB"/>
      </left>
      <right style="thin">
        <color rgb="FFABABAB"/>
      </right>
      <top style="thin">
        <color rgb="FFABABAB"/>
      </top>
      <bottom style="thin">
        <color rgb="FFABABAB"/>
      </bottom>
      <diagonal/>
    </border>
    <border>
      <left style="thin">
        <color rgb="FFABABAB"/>
      </left>
      <right/>
      <top style="thin">
        <color indexed="65"/>
      </top>
      <bottom/>
      <diagonal/>
    </border>
    <border>
      <left style="thin">
        <color rgb="FFABABAB"/>
      </left>
      <right style="thin">
        <color rgb="FFABABAB"/>
      </right>
      <top style="thin">
        <color indexed="65"/>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rgb="FFABABAB"/>
      </top>
      <bottom/>
      <diagonal/>
    </border>
    <border>
      <left/>
      <right style="medium">
        <color indexed="64"/>
      </right>
      <top/>
      <bottom/>
      <diagonal/>
    </border>
    <border>
      <left style="medium">
        <color indexed="64"/>
      </left>
      <right/>
      <top style="thin">
        <color rgb="FFABABAB"/>
      </top>
      <bottom style="thin">
        <color rgb="FFABABAB"/>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32">
    <xf numFmtId="0" fontId="0" fillId="0" borderId="0" xfId="0"/>
    <xf numFmtId="0" fontId="1" fillId="0" borderId="0" xfId="0" applyFont="1"/>
    <xf numFmtId="0" fontId="0" fillId="0" borderId="2" xfId="0" applyBorder="1"/>
    <xf numFmtId="0" fontId="0" fillId="0" borderId="5" xfId="0" applyBorder="1"/>
    <xf numFmtId="0" fontId="0" fillId="2" borderId="0" xfId="0" applyFill="1"/>
    <xf numFmtId="0" fontId="0" fillId="0" borderId="7" xfId="0" applyBorder="1"/>
    <xf numFmtId="164" fontId="0" fillId="0" borderId="8" xfId="0" applyNumberFormat="1" applyBorder="1"/>
    <xf numFmtId="164" fontId="0" fillId="0" borderId="0" xfId="0" applyNumberFormat="1"/>
    <xf numFmtId="0" fontId="0" fillId="0" borderId="1" xfId="0" pivotButton="1" applyBorder="1"/>
    <xf numFmtId="0" fontId="0" fillId="0" borderId="1" xfId="0" applyBorder="1" applyAlignment="1">
      <alignment horizontal="left"/>
    </xf>
    <xf numFmtId="0" fontId="0" fillId="0" borderId="9" xfId="0" applyBorder="1" applyAlignment="1">
      <alignment horizontal="left"/>
    </xf>
    <xf numFmtId="0" fontId="0" fillId="0" borderId="3" xfId="0" applyBorder="1" applyAlignment="1">
      <alignment horizontal="left"/>
    </xf>
    <xf numFmtId="9" fontId="0" fillId="0" borderId="0" xfId="1" applyFont="1"/>
    <xf numFmtId="10" fontId="0" fillId="0" borderId="7" xfId="0" applyNumberFormat="1" applyBorder="1"/>
    <xf numFmtId="10" fontId="0" fillId="0" borderId="10" xfId="0" applyNumberFormat="1" applyBorder="1"/>
    <xf numFmtId="10" fontId="0" fillId="0" borderId="8" xfId="0" applyNumberFormat="1" applyBorder="1"/>
    <xf numFmtId="0" fontId="0" fillId="0" borderId="10" xfId="0" applyBorder="1"/>
    <xf numFmtId="0" fontId="0" fillId="0" borderId="8" xfId="0" applyBorder="1"/>
    <xf numFmtId="0" fontId="0" fillId="0" borderId="6" xfId="0" applyBorder="1"/>
    <xf numFmtId="0" fontId="0" fillId="0" borderId="4"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1" fontId="0" fillId="0" borderId="0" xfId="0" applyNumberFormat="1"/>
    <xf numFmtId="10" fontId="0" fillId="0" borderId="0" xfId="1" applyNumberFormat="1" applyFont="1" applyBorder="1"/>
    <xf numFmtId="0" fontId="0" fillId="0" borderId="18" xfId="0" applyBorder="1"/>
    <xf numFmtId="0" fontId="0" fillId="0" borderId="19" xfId="0" applyBorder="1"/>
    <xf numFmtId="0" fontId="0" fillId="0" borderId="20" xfId="0" applyBorder="1"/>
  </cellXfs>
  <cellStyles count="2">
    <cellStyle name="Normal" xfId="0" builtinId="0"/>
    <cellStyle name="Percent" xfId="1" builtinId="5"/>
  </cellStyles>
  <dxfs count="8">
    <dxf>
      <numFmt numFmtId="164"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0"/>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3">
    <tableStyle name="Data-style" pivot="0" count="3" xr9:uid="{00000000-0011-0000-FFFF-FFFF00000000}">
      <tableStyleElement type="headerRow" dxfId="7"/>
      <tableStyleElement type="firstRowStripe" dxfId="6"/>
      <tableStyleElement type="secondRowStripe" dxfId="5"/>
    </tableStyle>
    <tableStyle name="s" pivot="0" table="0" count="4" xr9:uid="{7A31AC32-DA55-4DD5-AB48-F57436549F31}">
      <tableStyleElement type="wholeTable" dxfId="4"/>
    </tableStyle>
    <tableStyle name="slicer" pivot="0" table="0" count="0" xr9:uid="{1DB9E708-4406-448A-9D53-DEBB1889AE67}"/>
  </tableStyles>
  <colors>
    <mruColors>
      <color rgb="FFF1174B"/>
      <color rgb="FF996600"/>
      <color rgb="FF7911F7"/>
    </mruColors>
  </colors>
  <extLst>
    <ext xmlns:x14="http://schemas.microsoft.com/office/spreadsheetml/2009/9/main" uri="{46F421CA-312F-682f-3DD2-61675219B42D}">
      <x14:dxfs count="3">
        <dxf>
          <fill>
            <gradientFill>
              <stop position="0">
                <color theme="1"/>
              </stop>
              <stop position="1">
                <color theme="1" tint="0.25098422193060094"/>
              </stop>
            </gradientFill>
          </fill>
        </dxf>
        <dxf>
          <font>
            <b/>
            <i val="0"/>
            <color theme="2"/>
            <name val="Calibri"/>
            <family val="2"/>
            <scheme val="minor"/>
          </font>
          <fill>
            <gradientFill>
              <stop position="0">
                <color rgb="FF002060"/>
              </stop>
              <stop position="1">
                <color rgb="FF7030A0"/>
              </stop>
            </gradientFill>
          </fill>
        </dxf>
        <dxf>
          <fill>
            <gradientFill>
              <stop position="0">
                <color theme="1"/>
              </stop>
              <stop position="1">
                <color theme="1" tint="0.34900967436750391"/>
              </stop>
            </gradientFill>
          </fill>
        </dxf>
      </x14:dxfs>
    </ext>
    <ext xmlns:x14="http://schemas.microsoft.com/office/spreadsheetml/2009/9/main" uri="{EB79DEF2-80B8-43e5-95BD-54CBDDF9020C}">
      <x14:slicerStyles defaultSlicerStyle="SlicerStyleLight1">
        <x14:slicerStyle name="s">
          <x14:slicerStyleElements>
            <x14:slicerStyleElement type="unselectedItemWithData" dxfId="2"/>
            <x14:slicerStyleElement type="selectedItemWithData" dxfId="1"/>
            <x14:slicerStyleElement type="selectedItemWithNoData" dxfId="0"/>
          </x14:slicerStyleElements>
        </x14:slicerStyle>
        <x14:slicerStyle name="slicer"/>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20"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microsoft.com/office/2017/10/relationships/person" Target="persons/person.xml"/><Relationship Id="rId5" Type="http://schemas.openxmlformats.org/officeDocument/2006/relationships/worksheet" Target="worksheets/sheet5.xml"/><Relationship Id="rId23"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A69-4CDE-A68E-576CC6B0C5A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A69-4CDE-A68E-576CC6B0C5AD}"/>
              </c:ext>
            </c:extLst>
          </c:dPt>
          <c:val>
            <c:numRef>
              <c:f>Rating!$C$6:$C$7</c:f>
              <c:numCache>
                <c:formatCode>General</c:formatCode>
                <c:ptCount val="2"/>
                <c:pt idx="0">
                  <c:v>0.65663265306122454</c:v>
                </c:pt>
                <c:pt idx="1">
                  <c:v>0.34336734693877546</c:v>
                </c:pt>
              </c:numCache>
            </c:numRef>
          </c:val>
          <c:extLst>
            <c:ext xmlns:c16="http://schemas.microsoft.com/office/drawing/2014/chart" uri="{C3380CC4-5D6E-409C-BE32-E72D297353CC}">
              <c16:uniqueId val="{00000000-99EB-4E78-9B88-1C2B3F683A7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Rating!$B$6</c:f>
              <c:numCache>
                <c:formatCode>0.0</c:formatCode>
                <c:ptCount val="1"/>
                <c:pt idx="0">
                  <c:v>2.6265306122448981</c:v>
                </c:pt>
              </c:numCache>
            </c:numRef>
          </c:val>
          <c:extLst>
            <c:ext xmlns:c16="http://schemas.microsoft.com/office/drawing/2014/chart" uri="{C3380CC4-5D6E-409C-BE32-E72D297353CC}">
              <c16:uniqueId val="{00000000-BFB7-4FBA-8F6C-1C3BC4161000}"/>
            </c:ext>
          </c:extLst>
        </c:ser>
        <c:ser>
          <c:idx val="1"/>
          <c:order val="1"/>
          <c:spPr>
            <a:solidFill>
              <a:schemeClr val="accent2"/>
            </a:solidFill>
            <a:ln>
              <a:noFill/>
            </a:ln>
            <a:effectLst/>
          </c:spPr>
          <c:invertIfNegative val="0"/>
          <c:val>
            <c:numRef>
              <c:f>Rating!$B$7</c:f>
              <c:numCache>
                <c:formatCode>0.0</c:formatCode>
                <c:ptCount val="1"/>
                <c:pt idx="0">
                  <c:v>1.3734693877551019</c:v>
                </c:pt>
              </c:numCache>
            </c:numRef>
          </c:val>
          <c:extLst>
            <c:ext xmlns:c16="http://schemas.microsoft.com/office/drawing/2014/chart" uri="{C3380CC4-5D6E-409C-BE32-E72D297353CC}">
              <c16:uniqueId val="{00000003-BFB7-4FBA-8F6C-1C3BC4161000}"/>
            </c:ext>
          </c:extLst>
        </c:ser>
        <c:dLbls>
          <c:showLegendKey val="0"/>
          <c:showVal val="0"/>
          <c:showCatName val="0"/>
          <c:showSerName val="0"/>
          <c:showPercent val="0"/>
          <c:showBubbleSize val="0"/>
        </c:dLbls>
        <c:gapWidth val="0"/>
        <c:overlap val="100"/>
        <c:axId val="1332480031"/>
        <c:axId val="1332496351"/>
      </c:barChart>
      <c:catAx>
        <c:axId val="1332480031"/>
        <c:scaling>
          <c:orientation val="minMax"/>
        </c:scaling>
        <c:delete val="1"/>
        <c:axPos val="l"/>
        <c:majorTickMark val="out"/>
        <c:minorTickMark val="none"/>
        <c:tickLblPos val="nextTo"/>
        <c:crossAx val="1332496351"/>
        <c:crosses val="autoZero"/>
        <c:auto val="1"/>
        <c:lblAlgn val="ctr"/>
        <c:lblOffset val="100"/>
        <c:noMultiLvlLbl val="0"/>
      </c:catAx>
      <c:valAx>
        <c:axId val="1332496351"/>
        <c:scaling>
          <c:orientation val="minMax"/>
          <c:max val="4"/>
          <c:min val="0"/>
        </c:scaling>
        <c:delete val="1"/>
        <c:axPos val="b"/>
        <c:numFmt formatCode="0.0" sourceLinked="1"/>
        <c:majorTickMark val="out"/>
        <c:minorTickMark val="none"/>
        <c:tickLblPos val="nextTo"/>
        <c:crossAx val="1332480031"/>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87C-44DC-83A5-B9259AA788C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87C-44DC-83A5-B9259AA788CF}"/>
              </c:ext>
            </c:extLst>
          </c:dPt>
          <c:val>
            <c:numRef>
              <c:f>Gender!$C$11:$C$12</c:f>
              <c:numCache>
                <c:formatCode>0%</c:formatCode>
                <c:ptCount val="2"/>
                <c:pt idx="0">
                  <c:v>0.4</c:v>
                </c:pt>
                <c:pt idx="1">
                  <c:v>0.6</c:v>
                </c:pt>
              </c:numCache>
            </c:numRef>
          </c:val>
          <c:extLst>
            <c:ext xmlns:c16="http://schemas.microsoft.com/office/drawing/2014/chart" uri="{C3380CC4-5D6E-409C-BE32-E72D297353CC}">
              <c16:uniqueId val="{00000000-1574-43C4-BE51-89B2086418A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 wise Attrition!Education by Attrition</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wise 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wise Attrition'!$A$4:$A$9</c:f>
              <c:strCache>
                <c:ptCount val="5"/>
                <c:pt idx="0">
                  <c:v>Doctoral Degree</c:v>
                </c:pt>
                <c:pt idx="1">
                  <c:v>High School</c:v>
                </c:pt>
                <c:pt idx="2">
                  <c:v>Associates Degree</c:v>
                </c:pt>
                <c:pt idx="3">
                  <c:v>Master's Degree</c:v>
                </c:pt>
                <c:pt idx="4">
                  <c:v>Bachelor's Degree</c:v>
                </c:pt>
              </c:strCache>
            </c:strRef>
          </c:cat>
          <c:val>
            <c:numRef>
              <c:f>'Education wise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EC56-4709-A90A-92732BBE6BE3}"/>
            </c:ext>
          </c:extLst>
        </c:ser>
        <c:dLbls>
          <c:dLblPos val="outEnd"/>
          <c:showLegendKey val="0"/>
          <c:showVal val="1"/>
          <c:showCatName val="0"/>
          <c:showSerName val="0"/>
          <c:showPercent val="0"/>
          <c:showBubbleSize val="0"/>
        </c:dLbls>
        <c:gapWidth val="182"/>
        <c:axId val="25703567"/>
        <c:axId val="25730447"/>
      </c:barChart>
      <c:catAx>
        <c:axId val="257035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30447"/>
        <c:crosses val="autoZero"/>
        <c:auto val="1"/>
        <c:lblAlgn val="ctr"/>
        <c:lblOffset val="100"/>
        <c:noMultiLvlLbl val="0"/>
      </c:catAx>
      <c:valAx>
        <c:axId val="25730447"/>
        <c:scaling>
          <c:orientation val="minMax"/>
        </c:scaling>
        <c:delete val="1"/>
        <c:axPos val="b"/>
        <c:numFmt formatCode="General" sourceLinked="1"/>
        <c:majorTickMark val="out"/>
        <c:minorTickMark val="none"/>
        <c:tickLblPos val="nextTo"/>
        <c:crossAx val="25703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DATA_Excel.xlsx]Department wise attrition!Department wise attrition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'Department wise attrition'!$B$3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EB-451B-AC16-901B553B6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EB-451B-AC16-901B553B6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6EB-451B-AC16-901B553B6C75}"/>
              </c:ext>
            </c:extLst>
          </c:dPt>
          <c:cat>
            <c:strRef>
              <c:f>'Department wise attrition'!$A$4:$A$7</c:f>
              <c:strCache>
                <c:ptCount val="3"/>
                <c:pt idx="0">
                  <c:v>HR</c:v>
                </c:pt>
                <c:pt idx="1">
                  <c:v>R&amp;D</c:v>
                </c:pt>
                <c:pt idx="2">
                  <c:v>Sales</c:v>
                </c:pt>
              </c:strCache>
            </c:strRef>
          </c:cat>
          <c:val>
            <c:numRef>
              <c:f>'Department wise 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44E7-4CC0-B41D-05222E40C88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DATA_Excel.xlsx]Attrition by Age Group!Attrition by Age Group</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 Group'!$B$3</c:f>
              <c:strCache>
                <c:ptCount val="1"/>
                <c:pt idx="0">
                  <c:v>Total</c:v>
                </c:pt>
              </c:strCache>
            </c:strRef>
          </c:tx>
          <c:spPr>
            <a:solidFill>
              <a:schemeClr val="accent1"/>
            </a:solidFill>
            <a:ln>
              <a:noFill/>
            </a:ln>
            <a:effectLst/>
          </c:spPr>
          <c:invertIfNegative val="0"/>
          <c:cat>
            <c:strRef>
              <c:f>'Attrition by Age Group'!$A$4:$A$9</c:f>
              <c:strCache>
                <c:ptCount val="5"/>
                <c:pt idx="0">
                  <c:v>25 - 34</c:v>
                </c:pt>
                <c:pt idx="1">
                  <c:v>35 - 44</c:v>
                </c:pt>
                <c:pt idx="2">
                  <c:v>Under 25</c:v>
                </c:pt>
                <c:pt idx="3">
                  <c:v>45 - 54</c:v>
                </c:pt>
                <c:pt idx="4">
                  <c:v>Over 55</c:v>
                </c:pt>
              </c:strCache>
            </c:strRef>
          </c:cat>
          <c:val>
            <c:numRef>
              <c:f>'Attrition by 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7835-45D5-8535-91AA98C29747}"/>
            </c:ext>
          </c:extLst>
        </c:ser>
        <c:dLbls>
          <c:showLegendKey val="0"/>
          <c:showVal val="0"/>
          <c:showCatName val="0"/>
          <c:showSerName val="0"/>
          <c:showPercent val="0"/>
          <c:showBubbleSize val="0"/>
        </c:dLbls>
        <c:gapWidth val="219"/>
        <c:overlap val="-27"/>
        <c:axId val="1275201199"/>
        <c:axId val="1275199759"/>
      </c:barChart>
      <c:catAx>
        <c:axId val="1275201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5199759"/>
        <c:crosses val="autoZero"/>
        <c:auto val="1"/>
        <c:lblAlgn val="ctr"/>
        <c:lblOffset val="100"/>
        <c:noMultiLvlLbl val="0"/>
      </c:catAx>
      <c:valAx>
        <c:axId val="1275199759"/>
        <c:scaling>
          <c:orientation val="minMax"/>
        </c:scaling>
        <c:delete val="1"/>
        <c:axPos val="l"/>
        <c:numFmt formatCode="General" sourceLinked="1"/>
        <c:majorTickMark val="none"/>
        <c:minorTickMark val="none"/>
        <c:tickLblPos val="nextTo"/>
        <c:crossAx val="1275201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gradFill>
                <a:gsLst>
                  <a:gs pos="0">
                    <a:schemeClr val="accent1"/>
                  </a:gs>
                  <a:gs pos="100000">
                    <a:schemeClr val="accent2">
                      <a:lumMod val="50000"/>
                    </a:schemeClr>
                  </a:gs>
                </a:gsLst>
                <a:lin ang="5400000" scaled="1"/>
              </a:gradFill>
              <a:ln w="19050">
                <a:noFill/>
              </a:ln>
              <a:effectLst/>
            </c:spPr>
            <c:extLst>
              <c:ext xmlns:c16="http://schemas.microsoft.com/office/drawing/2014/chart" uri="{C3380CC4-5D6E-409C-BE32-E72D297353CC}">
                <c16:uniqueId val="{00000001-EED0-4219-BD08-2484ED83B8DA}"/>
              </c:ext>
            </c:extLst>
          </c:dPt>
          <c:dPt>
            <c:idx val="1"/>
            <c:bubble3D val="0"/>
            <c:spPr>
              <a:solidFill>
                <a:schemeClr val="bg1">
                  <a:lumMod val="95000"/>
                  <a:alpha val="95000"/>
                </a:schemeClr>
              </a:solidFill>
              <a:ln w="19050">
                <a:solidFill>
                  <a:schemeClr val="lt1"/>
                </a:solidFill>
              </a:ln>
              <a:effectLst/>
            </c:spPr>
            <c:extLst>
              <c:ext xmlns:c16="http://schemas.microsoft.com/office/drawing/2014/chart" uri="{C3380CC4-5D6E-409C-BE32-E72D297353CC}">
                <c16:uniqueId val="{00000003-EED0-4219-BD08-2484ED83B8DA}"/>
              </c:ext>
            </c:extLst>
          </c:dPt>
          <c:val>
            <c:numRef>
              <c:f>Rating!$C$6:$C$7</c:f>
              <c:numCache>
                <c:formatCode>General</c:formatCode>
                <c:ptCount val="2"/>
                <c:pt idx="0">
                  <c:v>0.65663265306122454</c:v>
                </c:pt>
                <c:pt idx="1">
                  <c:v>0.34336734693877546</c:v>
                </c:pt>
              </c:numCache>
            </c:numRef>
          </c:val>
          <c:extLst>
            <c:ext xmlns:c16="http://schemas.microsoft.com/office/drawing/2014/chart" uri="{C3380CC4-5D6E-409C-BE32-E72D297353CC}">
              <c16:uniqueId val="{00000004-EED0-4219-BD08-2484ED83B8DA}"/>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2">
                <a:lumMod val="50000"/>
              </a:schemeClr>
            </a:solidFill>
            <a:ln>
              <a:noFill/>
            </a:ln>
            <a:effectLst/>
          </c:spPr>
          <c:invertIfNegative val="0"/>
          <c:val>
            <c:numRef>
              <c:f>Rating!$B$6</c:f>
              <c:numCache>
                <c:formatCode>0.0</c:formatCode>
                <c:ptCount val="1"/>
                <c:pt idx="0">
                  <c:v>2.6265306122448981</c:v>
                </c:pt>
              </c:numCache>
            </c:numRef>
          </c:val>
          <c:extLst>
            <c:ext xmlns:c16="http://schemas.microsoft.com/office/drawing/2014/chart" uri="{C3380CC4-5D6E-409C-BE32-E72D297353CC}">
              <c16:uniqueId val="{00000000-05A2-421E-944E-5BB8F0D8CADA}"/>
            </c:ext>
          </c:extLst>
        </c:ser>
        <c:ser>
          <c:idx val="1"/>
          <c:order val="1"/>
          <c:spPr>
            <a:solidFill>
              <a:schemeClr val="bg1"/>
            </a:solidFill>
            <a:ln>
              <a:noFill/>
            </a:ln>
            <a:effectLst/>
          </c:spPr>
          <c:invertIfNegative val="0"/>
          <c:val>
            <c:numRef>
              <c:f>Rating!$B$7</c:f>
              <c:numCache>
                <c:formatCode>0.0</c:formatCode>
                <c:ptCount val="1"/>
                <c:pt idx="0">
                  <c:v>1.3734693877551019</c:v>
                </c:pt>
              </c:numCache>
            </c:numRef>
          </c:val>
          <c:extLst>
            <c:ext xmlns:c16="http://schemas.microsoft.com/office/drawing/2014/chart" uri="{C3380CC4-5D6E-409C-BE32-E72D297353CC}">
              <c16:uniqueId val="{00000001-05A2-421E-944E-5BB8F0D8CADA}"/>
            </c:ext>
          </c:extLst>
        </c:ser>
        <c:dLbls>
          <c:showLegendKey val="0"/>
          <c:showVal val="0"/>
          <c:showCatName val="0"/>
          <c:showSerName val="0"/>
          <c:showPercent val="0"/>
          <c:showBubbleSize val="0"/>
        </c:dLbls>
        <c:gapWidth val="0"/>
        <c:overlap val="100"/>
        <c:axId val="1332480031"/>
        <c:axId val="1332496351"/>
      </c:barChart>
      <c:catAx>
        <c:axId val="1332480031"/>
        <c:scaling>
          <c:orientation val="minMax"/>
        </c:scaling>
        <c:delete val="1"/>
        <c:axPos val="l"/>
        <c:majorTickMark val="out"/>
        <c:minorTickMark val="none"/>
        <c:tickLblPos val="nextTo"/>
        <c:crossAx val="1332496351"/>
        <c:crosses val="autoZero"/>
        <c:auto val="1"/>
        <c:lblAlgn val="ctr"/>
        <c:lblOffset val="100"/>
        <c:noMultiLvlLbl val="0"/>
      </c:catAx>
      <c:valAx>
        <c:axId val="1332496351"/>
        <c:scaling>
          <c:orientation val="minMax"/>
          <c:max val="4"/>
          <c:min val="0"/>
        </c:scaling>
        <c:delete val="1"/>
        <c:axPos val="b"/>
        <c:numFmt formatCode="0.0" sourceLinked="1"/>
        <c:majorTickMark val="out"/>
        <c:minorTickMark val="none"/>
        <c:tickLblPos val="nextTo"/>
        <c:crossAx val="1332480031"/>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7911F7"/>
                  </a:gs>
                  <a:gs pos="100000">
                    <a:schemeClr val="accent2">
                      <a:lumMod val="50000"/>
                    </a:schemeClr>
                  </a:gs>
                </a:gsLst>
                <a:lin ang="10800000" scaled="0"/>
              </a:gradFill>
              <a:ln w="19050">
                <a:noFill/>
              </a:ln>
              <a:effectLst/>
            </c:spPr>
            <c:extLst>
              <c:ext xmlns:c16="http://schemas.microsoft.com/office/drawing/2014/chart" uri="{C3380CC4-5D6E-409C-BE32-E72D297353CC}">
                <c16:uniqueId val="{00000001-FE22-4736-9244-43E628E07C15}"/>
              </c:ext>
            </c:extLst>
          </c:dPt>
          <c:dPt>
            <c:idx val="1"/>
            <c:bubble3D val="0"/>
            <c:spPr>
              <a:solidFill>
                <a:schemeClr val="bg1">
                  <a:lumMod val="75000"/>
                </a:schemeClr>
              </a:solidFill>
              <a:ln w="19050">
                <a:noFill/>
              </a:ln>
              <a:effectLst/>
            </c:spPr>
            <c:extLst>
              <c:ext xmlns:c16="http://schemas.microsoft.com/office/drawing/2014/chart" uri="{C3380CC4-5D6E-409C-BE32-E72D297353CC}">
                <c16:uniqueId val="{00000003-FE22-4736-9244-43E628E07C15}"/>
              </c:ext>
            </c:extLst>
          </c:dPt>
          <c:val>
            <c:numRef>
              <c:f>Gender!$C$11:$C$12</c:f>
              <c:numCache>
                <c:formatCode>0%</c:formatCode>
                <c:ptCount val="2"/>
                <c:pt idx="0">
                  <c:v>0.4</c:v>
                </c:pt>
                <c:pt idx="1">
                  <c:v>0.6</c:v>
                </c:pt>
              </c:numCache>
            </c:numRef>
          </c:val>
          <c:extLst>
            <c:ext xmlns:c16="http://schemas.microsoft.com/office/drawing/2014/chart" uri="{C3380CC4-5D6E-409C-BE32-E72D297353CC}">
              <c16:uniqueId val="{00000004-FE22-4736-9244-43E628E07C15}"/>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bg1">
                <a:lumMod val="95000"/>
              </a:schemeClr>
            </a:solidFill>
            <a:ln>
              <a:noFill/>
            </a:ln>
          </c:spPr>
          <c:dPt>
            <c:idx val="0"/>
            <c:bubble3D val="0"/>
            <c:spPr>
              <a:solidFill>
                <a:schemeClr val="bg1">
                  <a:lumMod val="85000"/>
                </a:schemeClr>
              </a:solidFill>
              <a:ln w="19050">
                <a:noFill/>
              </a:ln>
              <a:effectLst/>
            </c:spPr>
            <c:extLst>
              <c:ext xmlns:c16="http://schemas.microsoft.com/office/drawing/2014/chart" uri="{C3380CC4-5D6E-409C-BE32-E72D297353CC}">
                <c16:uniqueId val="{00000001-5E1C-4111-BFBE-6559FC0651B4}"/>
              </c:ext>
            </c:extLst>
          </c:dPt>
          <c:dPt>
            <c:idx val="1"/>
            <c:bubble3D val="0"/>
            <c:spPr>
              <a:gradFill>
                <a:gsLst>
                  <a:gs pos="0">
                    <a:srgbClr val="00B050"/>
                  </a:gs>
                  <a:gs pos="100000">
                    <a:schemeClr val="accent2">
                      <a:lumMod val="50000"/>
                    </a:schemeClr>
                  </a:gs>
                </a:gsLst>
                <a:lin ang="10800000" scaled="0"/>
              </a:gradFill>
              <a:ln w="19050">
                <a:noFill/>
              </a:ln>
              <a:effectLst/>
            </c:spPr>
            <c:extLst>
              <c:ext xmlns:c16="http://schemas.microsoft.com/office/drawing/2014/chart" uri="{C3380CC4-5D6E-409C-BE32-E72D297353CC}">
                <c16:uniqueId val="{00000003-5E1C-4111-BFBE-6559FC0651B4}"/>
              </c:ext>
            </c:extLst>
          </c:dPt>
          <c:val>
            <c:numRef>
              <c:f>Gender!$C$11:$C$12</c:f>
              <c:numCache>
                <c:formatCode>0%</c:formatCode>
                <c:ptCount val="2"/>
                <c:pt idx="0">
                  <c:v>0.4</c:v>
                </c:pt>
                <c:pt idx="1">
                  <c:v>0.6</c:v>
                </c:pt>
              </c:numCache>
            </c:numRef>
          </c:val>
          <c:extLst>
            <c:ext xmlns:c16="http://schemas.microsoft.com/office/drawing/2014/chart" uri="{C3380CC4-5D6E-409C-BE32-E72D297353CC}">
              <c16:uniqueId val="{00000004-5E1C-4111-BFBE-6559FC0651B4}"/>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 wise Attrition!Education by Attrition</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00B050">
                  <a:lumMod val="26000"/>
                </a:srgbClr>
              </a:gs>
              <a:gs pos="100000">
                <a:srgbClr val="7030A0"/>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wise Attrition'!$B$3</c:f>
              <c:strCache>
                <c:ptCount val="1"/>
                <c:pt idx="0">
                  <c:v>Total</c:v>
                </c:pt>
              </c:strCache>
            </c:strRef>
          </c:tx>
          <c:spPr>
            <a:gradFill>
              <a:gsLst>
                <a:gs pos="0">
                  <a:srgbClr val="00B050">
                    <a:lumMod val="26000"/>
                  </a:srgbClr>
                </a:gs>
                <a:gs pos="100000">
                  <a:srgbClr val="7030A0"/>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wise Attrition'!$A$4:$A$9</c:f>
              <c:strCache>
                <c:ptCount val="5"/>
                <c:pt idx="0">
                  <c:v>Doctoral Degree</c:v>
                </c:pt>
                <c:pt idx="1">
                  <c:v>High School</c:v>
                </c:pt>
                <c:pt idx="2">
                  <c:v>Associates Degree</c:v>
                </c:pt>
                <c:pt idx="3">
                  <c:v>Master's Degree</c:v>
                </c:pt>
                <c:pt idx="4">
                  <c:v>Bachelor's Degree</c:v>
                </c:pt>
              </c:strCache>
            </c:strRef>
          </c:cat>
          <c:val>
            <c:numRef>
              <c:f>'Education wise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62A7-476B-A247-754D88D3E6F8}"/>
            </c:ext>
          </c:extLst>
        </c:ser>
        <c:dLbls>
          <c:dLblPos val="outEnd"/>
          <c:showLegendKey val="0"/>
          <c:showVal val="1"/>
          <c:showCatName val="0"/>
          <c:showSerName val="0"/>
          <c:showPercent val="0"/>
          <c:showBubbleSize val="0"/>
        </c:dLbls>
        <c:gapWidth val="75"/>
        <c:axId val="25703567"/>
        <c:axId val="25730447"/>
      </c:barChart>
      <c:catAx>
        <c:axId val="25703567"/>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5730447"/>
        <c:crosses val="autoZero"/>
        <c:auto val="1"/>
        <c:lblAlgn val="ctr"/>
        <c:lblOffset val="100"/>
        <c:noMultiLvlLbl val="0"/>
      </c:catAx>
      <c:valAx>
        <c:axId val="25730447"/>
        <c:scaling>
          <c:orientation val="minMax"/>
        </c:scaling>
        <c:delete val="1"/>
        <c:axPos val="b"/>
        <c:numFmt formatCode="General" sourceLinked="1"/>
        <c:majorTickMark val="out"/>
        <c:minorTickMark val="none"/>
        <c:tickLblPos val="nextTo"/>
        <c:crossAx val="25703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DATA_Excel.xlsx]Department wise attrition!Department wise attrition</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ysClr val="windowText" lastClr="000000"/>
                  </a:solidFill>
                  <a:latin typeface="Arial Black" panose="020B0A040201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3.7655220226022211E-2"/>
              <c:y val="0.12001953839466696"/>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ysClr val="windowText" lastClr="000000"/>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0640785622646018"/>
              <c:y val="-0.10638526787827667"/>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ysClr val="windowText" lastClr="000000"/>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9014898097562577"/>
              <c:y val="0.10760620236440398"/>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ysClr val="windowText" lastClr="000000"/>
                  </a:solidFill>
                  <a:latin typeface="Arial Black" panose="020B0A04020102020204"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'Department wise attrition'!$B$3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F36-4967-A9B3-1B6121401EC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F36-4967-A9B3-1B6121401EC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F36-4967-A9B3-1B6121401EC8}"/>
              </c:ext>
            </c:extLst>
          </c:dPt>
          <c:dLbls>
            <c:dLbl>
              <c:idx val="0"/>
              <c:layout>
                <c:manualLayout>
                  <c:x val="-3.7655220226022211E-2"/>
                  <c:y val="0.12001953839466696"/>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36-4967-A9B3-1B6121401EC8}"/>
                </c:ext>
              </c:extLst>
            </c:dLbl>
            <c:dLbl>
              <c:idx val="1"/>
              <c:layout>
                <c:manualLayout>
                  <c:x val="-0.20640785622646018"/>
                  <c:y val="-0.1063852678782766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F36-4967-A9B3-1B6121401EC8}"/>
                </c:ext>
              </c:extLst>
            </c:dLbl>
            <c:dLbl>
              <c:idx val="2"/>
              <c:layout>
                <c:manualLayout>
                  <c:x val="0.19014898097562577"/>
                  <c:y val="0.10760620236440398"/>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36-4967-A9B3-1B6121401EC8}"/>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ysClr val="windowText" lastClr="000000"/>
                    </a:solidFill>
                    <a:latin typeface="Arial Black" panose="020B0A04020102020204" pitchFamily="34" charset="0"/>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 wise attrition'!$A$4:$A$7</c:f>
              <c:strCache>
                <c:ptCount val="3"/>
                <c:pt idx="0">
                  <c:v>HR</c:v>
                </c:pt>
                <c:pt idx="1">
                  <c:v>R&amp;D</c:v>
                </c:pt>
                <c:pt idx="2">
                  <c:v>Sales</c:v>
                </c:pt>
              </c:strCache>
            </c:strRef>
          </c:cat>
          <c:val>
            <c:numRef>
              <c:f>'Department wise 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4F36-4967-A9B3-1B6121401EC8}"/>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8675413155477258"/>
          <c:y val="0.24140848586048549"/>
          <c:w val="0.19453916452226958"/>
          <c:h val="0.4570615803720902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Black" panose="020B0A040201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DATA_Excel.xlsx]Attrition by Age Group!Attrition by Age Group</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1174B"/>
              </a:gs>
              <a:gs pos="100000">
                <a:srgbClr val="002060"/>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 Group'!$B$3</c:f>
              <c:strCache>
                <c:ptCount val="1"/>
                <c:pt idx="0">
                  <c:v>Total</c:v>
                </c:pt>
              </c:strCache>
            </c:strRef>
          </c:tx>
          <c:spPr>
            <a:gradFill>
              <a:gsLst>
                <a:gs pos="0">
                  <a:srgbClr val="F1174B"/>
                </a:gs>
                <a:gs pos="100000">
                  <a:srgbClr val="002060"/>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 Group'!$A$4:$A$9</c:f>
              <c:strCache>
                <c:ptCount val="5"/>
                <c:pt idx="0">
                  <c:v>25 - 34</c:v>
                </c:pt>
                <c:pt idx="1">
                  <c:v>35 - 44</c:v>
                </c:pt>
                <c:pt idx="2">
                  <c:v>Under 25</c:v>
                </c:pt>
                <c:pt idx="3">
                  <c:v>45 - 54</c:v>
                </c:pt>
                <c:pt idx="4">
                  <c:v>Over 55</c:v>
                </c:pt>
              </c:strCache>
            </c:strRef>
          </c:cat>
          <c:val>
            <c:numRef>
              <c:f>'Attrition by 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C36C-420E-911C-230816CEDB57}"/>
            </c:ext>
          </c:extLst>
        </c:ser>
        <c:dLbls>
          <c:dLblPos val="outEnd"/>
          <c:showLegendKey val="0"/>
          <c:showVal val="1"/>
          <c:showCatName val="0"/>
          <c:showSerName val="0"/>
          <c:showPercent val="0"/>
          <c:showBubbleSize val="0"/>
        </c:dLbls>
        <c:gapWidth val="76"/>
        <c:overlap val="-27"/>
        <c:axId val="1275201199"/>
        <c:axId val="1275199759"/>
      </c:barChart>
      <c:catAx>
        <c:axId val="1275201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Black" panose="020B0A04020102020204" pitchFamily="34" charset="0"/>
                <a:ea typeface="+mn-ea"/>
                <a:cs typeface="+mn-cs"/>
              </a:defRPr>
            </a:pPr>
            <a:endParaRPr lang="en-US"/>
          </a:p>
        </c:txPr>
        <c:crossAx val="1275199759"/>
        <c:crosses val="autoZero"/>
        <c:auto val="1"/>
        <c:lblAlgn val="ctr"/>
        <c:lblOffset val="100"/>
        <c:noMultiLvlLbl val="0"/>
      </c:catAx>
      <c:valAx>
        <c:axId val="1275199759"/>
        <c:scaling>
          <c:orientation val="minMax"/>
        </c:scaling>
        <c:delete val="1"/>
        <c:axPos val="l"/>
        <c:numFmt formatCode="General" sourceLinked="1"/>
        <c:majorTickMark val="none"/>
        <c:minorTickMark val="none"/>
        <c:tickLblPos val="nextTo"/>
        <c:crossAx val="1275201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E0D6-4996-A953-91F332829C6F}">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_xlchart.v2.4</cx:f>
      </cx:numDim>
    </cx:data>
  </cx:chartData>
  <cx:chart>
    <cx:plotArea>
      <cx:plotAreaRegion>
        <cx:series layoutId="funnel" uniqueId="{38F4736A-B31E-4AB2-87EA-69617C676B87}">
          <cx:tx>
            <cx:txData>
              <cx:f>_xlchart.v2.3</cx:f>
              <cx:v>Attrition</cx:v>
            </cx:txData>
          </cx:tx>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_xlchart.v1.5</cx:f>
      </cx:strDim>
      <cx:numDim type="size">
        <cx:f>_xlchart.v1.6</cx:f>
      </cx:numDim>
    </cx:data>
  </cx:chartData>
  <cx:chart>
    <cx:plotArea>
      <cx:plotAreaRegion>
        <cx:series layoutId="treemap" uniqueId="{00000000-E0D6-4996-A953-91F332829C6F}">
          <cx:spPr>
            <a:ln>
              <a:noFill/>
            </a:ln>
          </cx:spPr>
          <cx:dataLabels pos="inEnd">
            <cx:visibility seriesName="0" categoryName="1" value="0"/>
          </cx:dataLabels>
          <cx:dataId val="0"/>
          <cx:layoutPr>
            <cx:parentLabelLayout val="overlapping"/>
          </cx:layoutPr>
        </cx:series>
      </cx:plotAreaRegion>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plotArea>
      <cx:plotAreaRegion>
        <cx:series layoutId="funnel" uniqueId="{38F4736A-B31E-4AB2-87EA-69617C676B87}">
          <cx:tx>
            <cx:txData>
              <cx:f>_xlchart.v2.8</cx:f>
              <cx:v>Attrition</cx:v>
            </cx:txData>
          </cx:tx>
          <cx:spPr>
            <a:gradFill>
              <a:gsLst>
                <a:gs pos="0">
                  <a:schemeClr val="tx2">
                    <a:lumMod val="95000"/>
                    <a:lumOff val="5000"/>
                  </a:schemeClr>
                </a:gs>
                <a:gs pos="100000">
                  <a:srgbClr val="FF0000"/>
                </a:gs>
              </a:gsLst>
              <a:lin ang="10800000" scaled="0"/>
            </a:gradFill>
          </cx:spPr>
          <cx:dataLabels>
            <cx:visibility seriesName="0" categoryName="0" value="1"/>
          </cx:dataLabels>
          <cx:dataId val="0"/>
        </cx:series>
      </cx:plotAreaRegion>
      <cx:axis id="0">
        <cx:catScaling gapWidth="0.0599999987"/>
        <cx:tickLabels/>
      </cx:axis>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microsoft.com/office/2014/relationships/chartEx" Target="../charts/chartEx2.xml"/></Relationships>
</file>

<file path=xl/drawings/_rels/drawing9.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image" Target="../media/image9.svg"/><Relationship Id="rId1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8.png"/><Relationship Id="rId17" Type="http://schemas.microsoft.com/office/2014/relationships/chartEx" Target="../charts/chartEx3.xml"/><Relationship Id="rId2" Type="http://schemas.openxmlformats.org/officeDocument/2006/relationships/image" Target="../media/image2.png"/><Relationship Id="rId16" Type="http://schemas.openxmlformats.org/officeDocument/2006/relationships/chart" Target="../charts/chart11.xml"/><Relationship Id="rId20" Type="http://schemas.microsoft.com/office/2014/relationships/chartEx" Target="../charts/chartEx4.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10.xml"/><Relationship Id="rId5" Type="http://schemas.openxmlformats.org/officeDocument/2006/relationships/image" Target="../media/image5.png"/><Relationship Id="rId15" Type="http://schemas.openxmlformats.org/officeDocument/2006/relationships/image" Target="../media/image11.svg"/><Relationship Id="rId10" Type="http://schemas.openxmlformats.org/officeDocument/2006/relationships/chart" Target="../charts/chart9.xml"/><Relationship Id="rId19" Type="http://schemas.openxmlformats.org/officeDocument/2006/relationships/chart" Target="../charts/chart13.xml"/><Relationship Id="rId4" Type="http://schemas.openxmlformats.org/officeDocument/2006/relationships/image" Target="../media/image4.png"/><Relationship Id="rId9" Type="http://schemas.openxmlformats.org/officeDocument/2006/relationships/chart" Target="../charts/chart8.xml"/><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9</xdr:col>
      <xdr:colOff>281940</xdr:colOff>
      <xdr:row>2</xdr:row>
      <xdr:rowOff>144781</xdr:rowOff>
    </xdr:from>
    <xdr:to>
      <xdr:col>12</xdr:col>
      <xdr:colOff>99060</xdr:colOff>
      <xdr:row>11</xdr:row>
      <xdr:rowOff>121921</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207A54AC-16FE-F26C-16BA-8A1E079E7B4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9852660" y="541021"/>
              <a:ext cx="1828800" cy="17602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7620</xdr:colOff>
      <xdr:row>2</xdr:row>
      <xdr:rowOff>99060</xdr:rowOff>
    </xdr:from>
    <xdr:to>
      <xdr:col>6</xdr:col>
      <xdr:colOff>137160</xdr:colOff>
      <xdr:row>8</xdr:row>
      <xdr:rowOff>114300</xdr:rowOff>
    </xdr:to>
    <xdr:graphicFrame macro="">
      <xdr:nvGraphicFramePr>
        <xdr:cNvPr id="4" name="Chart 3">
          <a:extLst>
            <a:ext uri="{FF2B5EF4-FFF2-40B4-BE49-F238E27FC236}">
              <a16:creationId xmlns:a16="http://schemas.microsoft.com/office/drawing/2014/main" id="{904530A8-5386-ED90-9344-94698A060C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426720</xdr:colOff>
      <xdr:row>1</xdr:row>
      <xdr:rowOff>99061</xdr:rowOff>
    </xdr:from>
    <xdr:to>
      <xdr:col>10</xdr:col>
      <xdr:colOff>510540</xdr:colOff>
      <xdr:row>8</xdr:row>
      <xdr:rowOff>182881</xdr:rowOff>
    </xdr:to>
    <mc:AlternateContent xmlns:mc="http://schemas.openxmlformats.org/markup-compatibility/2006" xmlns:a14="http://schemas.microsoft.com/office/drawing/2010/main">
      <mc:Choice Requires="a14">
        <xdr:graphicFrame macro="">
          <xdr:nvGraphicFramePr>
            <xdr:cNvPr id="5" name="Gender 1">
              <a:extLst>
                <a:ext uri="{FF2B5EF4-FFF2-40B4-BE49-F238E27FC236}">
                  <a16:creationId xmlns:a16="http://schemas.microsoft.com/office/drawing/2014/main" id="{4969FF89-B2D0-7908-A7AA-A3366F2F4D19}"/>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248400" y="297181"/>
              <a:ext cx="209550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1626870</xdr:colOff>
      <xdr:row>15</xdr:row>
      <xdr:rowOff>190500</xdr:rowOff>
    </xdr:from>
    <xdr:to>
      <xdr:col>7</xdr:col>
      <xdr:colOff>377190</xdr:colOff>
      <xdr:row>22</xdr:row>
      <xdr:rowOff>41910</xdr:rowOff>
    </xdr:to>
    <xdr:graphicFrame macro="">
      <xdr:nvGraphicFramePr>
        <xdr:cNvPr id="2" name="Chart 1">
          <a:extLst>
            <a:ext uri="{FF2B5EF4-FFF2-40B4-BE49-F238E27FC236}">
              <a16:creationId xmlns:a16="http://schemas.microsoft.com/office/drawing/2014/main" id="{43B13FCD-4BB6-68E5-15D3-B7D15CC42E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373380</xdr:colOff>
      <xdr:row>7</xdr:row>
      <xdr:rowOff>190500</xdr:rowOff>
    </xdr:from>
    <xdr:to>
      <xdr:col>14</xdr:col>
      <xdr:colOff>190500</xdr:colOff>
      <xdr:row>21</xdr:row>
      <xdr:rowOff>112395</xdr:rowOff>
    </xdr:to>
    <mc:AlternateContent xmlns:mc="http://schemas.openxmlformats.org/markup-compatibility/2006" xmlns:a14="http://schemas.microsoft.com/office/drawing/2010/main">
      <mc:Choice Requires="a14">
        <xdr:graphicFrame macro="">
          <xdr:nvGraphicFramePr>
            <xdr:cNvPr id="3" name="Education Field">
              <a:extLst>
                <a:ext uri="{FF2B5EF4-FFF2-40B4-BE49-F238E27FC236}">
                  <a16:creationId xmlns:a16="http://schemas.microsoft.com/office/drawing/2014/main" id="{4EA11E27-11B7-4090-8473-741AD592B939}"/>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8877300" y="157734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472440</xdr:colOff>
      <xdr:row>3</xdr:row>
      <xdr:rowOff>30480</xdr:rowOff>
    </xdr:from>
    <xdr:to>
      <xdr:col>14</xdr:col>
      <xdr:colOff>289560</xdr:colOff>
      <xdr:row>16</xdr:row>
      <xdr:rowOff>150495</xdr:rowOff>
    </xdr:to>
    <mc:AlternateContent xmlns:mc="http://schemas.openxmlformats.org/markup-compatibility/2006" xmlns:a14="http://schemas.microsoft.com/office/drawing/2010/main">
      <mc:Choice Requires="a14">
        <xdr:graphicFrame macro="">
          <xdr:nvGraphicFramePr>
            <xdr:cNvPr id="2" name="Education Field 1">
              <a:extLst>
                <a:ext uri="{FF2B5EF4-FFF2-40B4-BE49-F238E27FC236}">
                  <a16:creationId xmlns:a16="http://schemas.microsoft.com/office/drawing/2014/main" id="{986639ED-F6B0-E9E3-1562-5762DA9C0B8D}"/>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9174480" y="62484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144780</xdr:colOff>
      <xdr:row>3</xdr:row>
      <xdr:rowOff>15239</xdr:rowOff>
    </xdr:from>
    <xdr:to>
      <xdr:col>10</xdr:col>
      <xdr:colOff>632460</xdr:colOff>
      <xdr:row>8</xdr:row>
      <xdr:rowOff>106680</xdr:rowOff>
    </xdr:to>
    <mc:AlternateContent xmlns:mc="http://schemas.openxmlformats.org/markup-compatibility/2006" xmlns:a14="http://schemas.microsoft.com/office/drawing/2010/main">
      <mc:Choice Requires="a14">
        <xdr:graphicFrame macro="">
          <xdr:nvGraphicFramePr>
            <xdr:cNvPr id="3" name="Gender 2">
              <a:extLst>
                <a:ext uri="{FF2B5EF4-FFF2-40B4-BE49-F238E27FC236}">
                  <a16:creationId xmlns:a16="http://schemas.microsoft.com/office/drawing/2014/main" id="{486EB845-59EE-B9FE-5AFB-2C52FCFFDEAE}"/>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6835140" y="609599"/>
              <a:ext cx="1828800" cy="10820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167640</xdr:colOff>
      <xdr:row>14</xdr:row>
      <xdr:rowOff>106680</xdr:rowOff>
    </xdr:from>
    <xdr:to>
      <xdr:col>3</xdr:col>
      <xdr:colOff>220980</xdr:colOff>
      <xdr:row>24</xdr:row>
      <xdr:rowOff>0</xdr:rowOff>
    </xdr:to>
    <xdr:graphicFrame macro="">
      <xdr:nvGraphicFramePr>
        <xdr:cNvPr id="4" name="Chart 3">
          <a:extLst>
            <a:ext uri="{FF2B5EF4-FFF2-40B4-BE49-F238E27FC236}">
              <a16:creationId xmlns:a16="http://schemas.microsoft.com/office/drawing/2014/main" id="{BBA28C84-6846-31B1-7FC6-DAE54FD8AD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628650</xdr:colOff>
      <xdr:row>3</xdr:row>
      <xdr:rowOff>91440</xdr:rowOff>
    </xdr:from>
    <xdr:to>
      <xdr:col>9</xdr:col>
      <xdr:colOff>114300</xdr:colOff>
      <xdr:row>14</xdr:row>
      <xdr:rowOff>22860</xdr:rowOff>
    </xdr:to>
    <xdr:graphicFrame macro="">
      <xdr:nvGraphicFramePr>
        <xdr:cNvPr id="2" name="Chart 1">
          <a:extLst>
            <a:ext uri="{FF2B5EF4-FFF2-40B4-BE49-F238E27FC236}">
              <a16:creationId xmlns:a16="http://schemas.microsoft.com/office/drawing/2014/main" id="{7245FED9-E4A5-570A-3F51-944876F49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476250</xdr:colOff>
      <xdr:row>3</xdr:row>
      <xdr:rowOff>163830</xdr:rowOff>
    </xdr:from>
    <xdr:to>
      <xdr:col>12</xdr:col>
      <xdr:colOff>354330</xdr:colOff>
      <xdr:row>17</xdr:row>
      <xdr:rowOff>133350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88BAB70-2BA1-2356-9076-5FE17D4FAC2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128510" y="75819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453390</xdr:colOff>
      <xdr:row>7</xdr:row>
      <xdr:rowOff>53340</xdr:rowOff>
    </xdr:from>
    <xdr:to>
      <xdr:col>9</xdr:col>
      <xdr:colOff>331470</xdr:colOff>
      <xdr:row>19</xdr:row>
      <xdr:rowOff>114300</xdr:rowOff>
    </xdr:to>
    <xdr:graphicFrame macro="">
      <xdr:nvGraphicFramePr>
        <xdr:cNvPr id="2" name="Chart 1">
          <a:extLst>
            <a:ext uri="{FF2B5EF4-FFF2-40B4-BE49-F238E27FC236}">
              <a16:creationId xmlns:a16="http://schemas.microsoft.com/office/drawing/2014/main" id="{3547F7D8-60FF-8910-61B7-38FC49A082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1215390</xdr:colOff>
      <xdr:row>9</xdr:row>
      <xdr:rowOff>152400</xdr:rowOff>
    </xdr:from>
    <xdr:to>
      <xdr:col>8</xdr:col>
      <xdr:colOff>26670</xdr:colOff>
      <xdr:row>23</xdr:row>
      <xdr:rowOff>121920</xdr:rowOff>
    </xdr:to>
    <xdr:graphicFrame macro="">
      <xdr:nvGraphicFramePr>
        <xdr:cNvPr id="2" name="Chart 1">
          <a:extLst>
            <a:ext uri="{FF2B5EF4-FFF2-40B4-BE49-F238E27FC236}">
              <a16:creationId xmlns:a16="http://schemas.microsoft.com/office/drawing/2014/main" id="{A113AC5E-5A0B-275B-607C-6AC779131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236220</xdr:colOff>
      <xdr:row>1</xdr:row>
      <xdr:rowOff>175260</xdr:rowOff>
    </xdr:from>
    <xdr:to>
      <xdr:col>12</xdr:col>
      <xdr:colOff>53340</xdr:colOff>
      <xdr:row>15</xdr:row>
      <xdr:rowOff>97155</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C1B14D5A-092E-988C-BC52-CAF4E9F7F6DD}"/>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597140" y="37338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472440</xdr:colOff>
      <xdr:row>1</xdr:row>
      <xdr:rowOff>91440</xdr:rowOff>
    </xdr:from>
    <xdr:to>
      <xdr:col>15</xdr:col>
      <xdr:colOff>289560</xdr:colOff>
      <xdr:row>15</xdr:row>
      <xdr:rowOff>13335</xdr:rowOff>
    </xdr:to>
    <mc:AlternateContent xmlns:mc="http://schemas.openxmlformats.org/markup-compatibility/2006" xmlns:a14="http://schemas.microsoft.com/office/drawing/2010/main">
      <mc:Choice Requires="a14">
        <xdr:graphicFrame macro="">
          <xdr:nvGraphicFramePr>
            <xdr:cNvPr id="4" name="Education Field 2">
              <a:extLst>
                <a:ext uri="{FF2B5EF4-FFF2-40B4-BE49-F238E27FC236}">
                  <a16:creationId xmlns:a16="http://schemas.microsoft.com/office/drawing/2014/main" id="{93031331-B93B-7EB1-F41F-D6CD4ADD317B}"/>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9845040" y="28956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5</xdr:col>
      <xdr:colOff>331470</xdr:colOff>
      <xdr:row>5</xdr:row>
      <xdr:rowOff>140970</xdr:rowOff>
    </xdr:from>
    <xdr:to>
      <xdr:col>12</xdr:col>
      <xdr:colOff>209550</xdr:colOff>
      <xdr:row>19</xdr:row>
      <xdr:rowOff>110490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31A83766-6783-8B11-2160-4E1280507A3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89170" y="113157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oneCellAnchor>
    <xdr:from>
      <xdr:col>2</xdr:col>
      <xdr:colOff>658895</xdr:colOff>
      <xdr:row>0</xdr:row>
      <xdr:rowOff>178741</xdr:rowOff>
    </xdr:from>
    <xdr:ext cx="14150340" cy="7673810"/>
    <xdr:grpSp>
      <xdr:nvGrpSpPr>
        <xdr:cNvPr id="2" name="Shape 2">
          <a:extLst>
            <a:ext uri="{FF2B5EF4-FFF2-40B4-BE49-F238E27FC236}">
              <a16:creationId xmlns:a16="http://schemas.microsoft.com/office/drawing/2014/main" id="{8786184C-C3A4-428A-B353-DB3889A1070D}"/>
            </a:ext>
          </a:extLst>
        </xdr:cNvPr>
        <xdr:cNvGrpSpPr/>
      </xdr:nvGrpSpPr>
      <xdr:grpSpPr>
        <a:xfrm>
          <a:off x="2042091" y="178741"/>
          <a:ext cx="14150340" cy="7673810"/>
          <a:chOff x="0" y="60488"/>
          <a:chExt cx="10692000" cy="7439025"/>
        </a:xfrm>
      </xdr:grpSpPr>
      <xdr:grpSp>
        <xdr:nvGrpSpPr>
          <xdr:cNvPr id="3" name="Shape 29">
            <a:extLst>
              <a:ext uri="{FF2B5EF4-FFF2-40B4-BE49-F238E27FC236}">
                <a16:creationId xmlns:a16="http://schemas.microsoft.com/office/drawing/2014/main" id="{F0FB600A-FAF0-3514-99EF-87FD408A1F14}"/>
              </a:ext>
            </a:extLst>
          </xdr:cNvPr>
          <xdr:cNvGrpSpPr/>
        </xdr:nvGrpSpPr>
        <xdr:grpSpPr>
          <a:xfrm>
            <a:off x="0" y="60488"/>
            <a:ext cx="10692000" cy="7439025"/>
            <a:chOff x="1752600" y="190500"/>
            <a:chExt cx="13468350" cy="7776000"/>
          </a:xfrm>
        </xdr:grpSpPr>
        <xdr:sp macro="" textlink="">
          <xdr:nvSpPr>
            <xdr:cNvPr id="4" name="Shape 4">
              <a:extLst>
                <a:ext uri="{FF2B5EF4-FFF2-40B4-BE49-F238E27FC236}">
                  <a16:creationId xmlns:a16="http://schemas.microsoft.com/office/drawing/2014/main" id="{C2287B6F-BAAE-318C-1E7C-93BB971952C6}"/>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30">
              <a:extLst>
                <a:ext uri="{FF2B5EF4-FFF2-40B4-BE49-F238E27FC236}">
                  <a16:creationId xmlns:a16="http://schemas.microsoft.com/office/drawing/2014/main" id="{0AEA126F-A971-9260-5296-6F6A0C671132}"/>
                </a:ext>
              </a:extLst>
            </xdr:cNvPr>
            <xdr:cNvSpPr/>
          </xdr:nvSpPr>
          <xdr:spPr>
            <a:xfrm>
              <a:off x="1752600" y="190500"/>
              <a:ext cx="13468350" cy="7776000"/>
            </a:xfrm>
            <a:prstGeom prst="roundRect">
              <a:avLst>
                <a:gd name="adj" fmla="val 1112"/>
              </a:avLst>
            </a:prstGeom>
            <a:solidFill>
              <a:srgbClr val="1E4E79"/>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6" name="Shape 31">
              <a:extLst>
                <a:ext uri="{FF2B5EF4-FFF2-40B4-BE49-F238E27FC236}">
                  <a16:creationId xmlns:a16="http://schemas.microsoft.com/office/drawing/2014/main" id="{2819FDF0-FE1C-AA4A-C41E-43D15B3CCF4B}"/>
                </a:ext>
              </a:extLst>
            </xdr:cNvPr>
            <xdr:cNvSpPr/>
          </xdr:nvSpPr>
          <xdr:spPr>
            <a:xfrm>
              <a:off x="1852449" y="270899"/>
              <a:ext cx="769160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7" name="Shape 32">
              <a:extLst>
                <a:ext uri="{FF2B5EF4-FFF2-40B4-BE49-F238E27FC236}">
                  <a16:creationId xmlns:a16="http://schemas.microsoft.com/office/drawing/2014/main" id="{D3552DD0-9736-85A0-8544-4E7888DCCB2E}"/>
                </a:ext>
              </a:extLst>
            </xdr:cNvPr>
            <xdr:cNvSpPr/>
          </xdr:nvSpPr>
          <xdr:spPr>
            <a:xfrm>
              <a:off x="9658349" y="270899"/>
              <a:ext cx="546735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 name="Shape 33">
              <a:extLst>
                <a:ext uri="{FF2B5EF4-FFF2-40B4-BE49-F238E27FC236}">
                  <a16:creationId xmlns:a16="http://schemas.microsoft.com/office/drawing/2014/main" id="{4D19B1D6-07D9-A1CB-5E63-08BA1D0F15BE}"/>
                </a:ext>
              </a:extLst>
            </xdr:cNvPr>
            <xdr:cNvSpPr/>
          </xdr:nvSpPr>
          <xdr:spPr>
            <a:xfrm>
              <a:off x="5819774" y="2304895"/>
              <a:ext cx="481965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9" name="Shape 34">
              <a:extLst>
                <a:ext uri="{FF2B5EF4-FFF2-40B4-BE49-F238E27FC236}">
                  <a16:creationId xmlns:a16="http://schemas.microsoft.com/office/drawing/2014/main" id="{5242DD3E-429C-C56B-A2DD-FD5866218220}"/>
                </a:ext>
              </a:extLst>
            </xdr:cNvPr>
            <xdr:cNvGrpSpPr/>
          </xdr:nvGrpSpPr>
          <xdr:grpSpPr>
            <a:xfrm>
              <a:off x="1846116" y="1215714"/>
              <a:ext cx="13289109" cy="998848"/>
              <a:chOff x="1846116" y="1215714"/>
              <a:chExt cx="13403409" cy="998848"/>
            </a:xfrm>
          </xdr:grpSpPr>
          <xdr:sp macro="" textlink="">
            <xdr:nvSpPr>
              <xdr:cNvPr id="24" name="Shape 35">
                <a:extLst>
                  <a:ext uri="{FF2B5EF4-FFF2-40B4-BE49-F238E27FC236}">
                    <a16:creationId xmlns:a16="http://schemas.microsoft.com/office/drawing/2014/main" id="{C04548AC-0657-13AE-A302-C50973522EBF}"/>
                  </a:ext>
                </a:extLst>
              </xdr:cNvPr>
              <xdr:cNvSpPr/>
            </xdr:nvSpPr>
            <xdr:spPr>
              <a:xfrm>
                <a:off x="1846116"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5" name="Shape 36">
                <a:extLst>
                  <a:ext uri="{FF2B5EF4-FFF2-40B4-BE49-F238E27FC236}">
                    <a16:creationId xmlns:a16="http://schemas.microsoft.com/office/drawing/2014/main" id="{518F311A-18A1-A561-E998-31B1CB5461AA}"/>
                  </a:ext>
                </a:extLst>
              </xdr:cNvPr>
              <xdr:cNvSpPr/>
            </xdr:nvSpPr>
            <xdr:spPr>
              <a:xfrm>
                <a:off x="4546454"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37">
                <a:extLst>
                  <a:ext uri="{FF2B5EF4-FFF2-40B4-BE49-F238E27FC236}">
                    <a16:creationId xmlns:a16="http://schemas.microsoft.com/office/drawing/2014/main" id="{295143D5-78AF-82C5-6DDD-6195B98EB1D9}"/>
                  </a:ext>
                </a:extLst>
              </xdr:cNvPr>
              <xdr:cNvSpPr/>
            </xdr:nvSpPr>
            <xdr:spPr>
              <a:xfrm>
                <a:off x="7246792"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7" name="Shape 38">
                <a:extLst>
                  <a:ext uri="{FF2B5EF4-FFF2-40B4-BE49-F238E27FC236}">
                    <a16:creationId xmlns:a16="http://schemas.microsoft.com/office/drawing/2014/main" id="{8B4A33F2-6904-D400-FEDF-FDF7E3D40D75}"/>
                  </a:ext>
                </a:extLst>
              </xdr:cNvPr>
              <xdr:cNvSpPr/>
            </xdr:nvSpPr>
            <xdr:spPr>
              <a:xfrm>
                <a:off x="9947130"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8" name="Shape 39">
                <a:extLst>
                  <a:ext uri="{FF2B5EF4-FFF2-40B4-BE49-F238E27FC236}">
                    <a16:creationId xmlns:a16="http://schemas.microsoft.com/office/drawing/2014/main" id="{594E05B7-F97F-76BE-5507-CD5F3DFAD3DB}"/>
                  </a:ext>
                </a:extLst>
              </xdr:cNvPr>
              <xdr:cNvSpPr/>
            </xdr:nvSpPr>
            <xdr:spPr>
              <a:xfrm>
                <a:off x="12647467"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10" name="Shape 40">
              <a:extLst>
                <a:ext uri="{FF2B5EF4-FFF2-40B4-BE49-F238E27FC236}">
                  <a16:creationId xmlns:a16="http://schemas.microsoft.com/office/drawing/2014/main" id="{C61A6D35-C5F2-2F3E-37D4-E646036F3C16}"/>
                </a:ext>
              </a:extLst>
            </xdr:cNvPr>
            <xdr:cNvGrpSpPr/>
          </xdr:nvGrpSpPr>
          <xdr:grpSpPr>
            <a:xfrm>
              <a:off x="1847145" y="5162550"/>
              <a:ext cx="3867930" cy="2709509"/>
              <a:chOff x="1847145" y="2304895"/>
              <a:chExt cx="3867930" cy="2772878"/>
            </a:xfrm>
          </xdr:grpSpPr>
          <xdr:sp macro="" textlink="">
            <xdr:nvSpPr>
              <xdr:cNvPr id="22" name="Shape 41">
                <a:extLst>
                  <a:ext uri="{FF2B5EF4-FFF2-40B4-BE49-F238E27FC236}">
                    <a16:creationId xmlns:a16="http://schemas.microsoft.com/office/drawing/2014/main" id="{C90470BE-C9D1-52F1-C1B1-6DDE260D8983}"/>
                  </a:ext>
                </a:extLst>
              </xdr:cNvPr>
              <xdr:cNvSpPr/>
            </xdr:nvSpPr>
            <xdr:spPr>
              <a:xfrm>
                <a:off x="1847145" y="2304895"/>
                <a:ext cx="3867930"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3" name="Shape 42">
                <a:extLst>
                  <a:ext uri="{FF2B5EF4-FFF2-40B4-BE49-F238E27FC236}">
                    <a16:creationId xmlns:a16="http://schemas.microsoft.com/office/drawing/2014/main" id="{D898D0D5-B0B6-874C-044D-05662B9B6B6B}"/>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11" name="Shape 43">
              <a:extLst>
                <a:ext uri="{FF2B5EF4-FFF2-40B4-BE49-F238E27FC236}">
                  <a16:creationId xmlns:a16="http://schemas.microsoft.com/office/drawing/2014/main" id="{9A98A314-480A-ECA1-83CC-3D295789BECD}"/>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2" name="Shape 44">
              <a:extLst>
                <a:ext uri="{FF2B5EF4-FFF2-40B4-BE49-F238E27FC236}">
                  <a16:creationId xmlns:a16="http://schemas.microsoft.com/office/drawing/2014/main" id="{A8DA4D2D-C63F-9F49-FC79-A8963CB46AE2}"/>
                </a:ext>
              </a:extLst>
            </xdr:cNvPr>
            <xdr:cNvSpPr/>
          </xdr:nvSpPr>
          <xdr:spPr>
            <a:xfrm>
              <a:off x="10744199" y="2304895"/>
              <a:ext cx="438150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3" name="Shape 45">
              <a:extLst>
                <a:ext uri="{FF2B5EF4-FFF2-40B4-BE49-F238E27FC236}">
                  <a16:creationId xmlns:a16="http://schemas.microsoft.com/office/drawing/2014/main" id="{BB7D51A4-EF95-4257-5453-19D532B8D7D6}"/>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4" name="Shape 46">
              <a:extLst>
                <a:ext uri="{FF2B5EF4-FFF2-40B4-BE49-F238E27FC236}">
                  <a16:creationId xmlns:a16="http://schemas.microsoft.com/office/drawing/2014/main" id="{A5299229-3E3A-27DB-C36C-5D7AFE9B2C17}"/>
                </a:ext>
              </a:extLst>
            </xdr:cNvPr>
            <xdr:cNvSpPr/>
          </xdr:nvSpPr>
          <xdr:spPr>
            <a:xfrm>
              <a:off x="1847145" y="2314575"/>
              <a:ext cx="3867930" cy="275466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5" name="Shape 47">
              <a:extLst>
                <a:ext uri="{FF2B5EF4-FFF2-40B4-BE49-F238E27FC236}">
                  <a16:creationId xmlns:a16="http://schemas.microsoft.com/office/drawing/2014/main" id="{4BCAB7E0-DA97-7BAA-860B-661B8B3C6D59}"/>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6" name="Shape 48">
              <a:extLst>
                <a:ext uri="{FF2B5EF4-FFF2-40B4-BE49-F238E27FC236}">
                  <a16:creationId xmlns:a16="http://schemas.microsoft.com/office/drawing/2014/main" id="{98E4DD1C-2CE1-6180-D26F-8210AF188473}"/>
                </a:ext>
              </a:extLst>
            </xdr:cNvPr>
            <xdr:cNvSpPr/>
          </xdr:nvSpPr>
          <xdr:spPr>
            <a:xfrm>
              <a:off x="5809545" y="5162550"/>
              <a:ext cx="3564000" cy="2709509"/>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7" name="Shape 49">
              <a:extLst>
                <a:ext uri="{FF2B5EF4-FFF2-40B4-BE49-F238E27FC236}">
                  <a16:creationId xmlns:a16="http://schemas.microsoft.com/office/drawing/2014/main" id="{875864CF-A2ED-D3A5-01AA-899241377A80}"/>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8" name="Shape 50">
              <a:extLst>
                <a:ext uri="{FF2B5EF4-FFF2-40B4-BE49-F238E27FC236}">
                  <a16:creationId xmlns:a16="http://schemas.microsoft.com/office/drawing/2014/main" id="{172EB0C2-9FFD-ACF3-D8E2-7C79BEBA0F6A}"/>
                </a:ext>
              </a:extLst>
            </xdr:cNvPr>
            <xdr:cNvSpPr/>
          </xdr:nvSpPr>
          <xdr:spPr>
            <a:xfrm>
              <a:off x="9467145" y="5162550"/>
              <a:ext cx="2844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9" name="Shape 51">
              <a:extLst>
                <a:ext uri="{FF2B5EF4-FFF2-40B4-BE49-F238E27FC236}">
                  <a16:creationId xmlns:a16="http://schemas.microsoft.com/office/drawing/2014/main" id="{74AB9AF3-22EE-904A-B235-F67BAA71D3FB}"/>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0" name="Shape 52">
              <a:extLst>
                <a:ext uri="{FF2B5EF4-FFF2-40B4-BE49-F238E27FC236}">
                  <a16:creationId xmlns:a16="http://schemas.microsoft.com/office/drawing/2014/main" id="{4E02233C-A37D-49D0-4367-FFDF0A45FE97}"/>
                </a:ext>
              </a:extLst>
            </xdr:cNvPr>
            <xdr:cNvSpPr/>
          </xdr:nvSpPr>
          <xdr:spPr>
            <a:xfrm>
              <a:off x="12419895" y="5162550"/>
              <a:ext cx="2700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1" name="Shape 53">
              <a:extLst>
                <a:ext uri="{FF2B5EF4-FFF2-40B4-BE49-F238E27FC236}">
                  <a16:creationId xmlns:a16="http://schemas.microsoft.com/office/drawing/2014/main" id="{102B1AFF-1895-02FB-0A1C-9241B4F02332}"/>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twoCellAnchor>
    <xdr:from>
      <xdr:col>3</xdr:col>
      <xdr:colOff>94075</xdr:colOff>
      <xdr:row>6</xdr:row>
      <xdr:rowOff>122296</xdr:rowOff>
    </xdr:from>
    <xdr:to>
      <xdr:col>6</xdr:col>
      <xdr:colOff>498593</xdr:colOff>
      <xdr:row>8</xdr:row>
      <xdr:rowOff>131704</xdr:rowOff>
    </xdr:to>
    <xdr:sp macro="" textlink="">
      <xdr:nvSpPr>
        <xdr:cNvPr id="29" name="TextBox 28">
          <a:extLst>
            <a:ext uri="{FF2B5EF4-FFF2-40B4-BE49-F238E27FC236}">
              <a16:creationId xmlns:a16="http://schemas.microsoft.com/office/drawing/2014/main" id="{9A2399CD-EC55-8415-1457-745CD110ECAB}"/>
            </a:ext>
          </a:extLst>
        </xdr:cNvPr>
        <xdr:cNvSpPr txBox="1"/>
      </xdr:nvSpPr>
      <xdr:spPr>
        <a:xfrm>
          <a:off x="2135482" y="1307629"/>
          <a:ext cx="2408296" cy="404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solidFill>
                <a:schemeClr val="accent2">
                  <a:lumMod val="75000"/>
                </a:schemeClr>
              </a:solidFill>
              <a:latin typeface="Arial Black" panose="020B0A04020102020204" pitchFamily="34" charset="0"/>
            </a:rPr>
            <a:t>Total</a:t>
          </a:r>
          <a:r>
            <a:rPr lang="en-IN" sz="1400" baseline="0">
              <a:solidFill>
                <a:schemeClr val="accent2">
                  <a:lumMod val="75000"/>
                </a:schemeClr>
              </a:solidFill>
              <a:latin typeface="Arial Black" panose="020B0A04020102020204" pitchFamily="34" charset="0"/>
            </a:rPr>
            <a:t> Employees</a:t>
          </a:r>
          <a:endParaRPr lang="en-IN" sz="1400">
            <a:solidFill>
              <a:schemeClr val="accent2">
                <a:lumMod val="75000"/>
              </a:schemeClr>
            </a:solidFill>
            <a:latin typeface="Arial Black" panose="020B0A04020102020204" pitchFamily="34" charset="0"/>
          </a:endParaRPr>
        </a:p>
      </xdr:txBody>
    </xdr:sp>
    <xdr:clientData/>
  </xdr:twoCellAnchor>
  <xdr:twoCellAnchor>
    <xdr:from>
      <xdr:col>4</xdr:col>
      <xdr:colOff>310444</xdr:colOff>
      <xdr:row>8</xdr:row>
      <xdr:rowOff>84668</xdr:rowOff>
    </xdr:from>
    <xdr:to>
      <xdr:col>7</xdr:col>
      <xdr:colOff>56444</xdr:colOff>
      <xdr:row>10</xdr:row>
      <xdr:rowOff>56444</xdr:rowOff>
    </xdr:to>
    <xdr:sp macro="" textlink="KPI!A8">
      <xdr:nvSpPr>
        <xdr:cNvPr id="30" name="TextBox 29">
          <a:extLst>
            <a:ext uri="{FF2B5EF4-FFF2-40B4-BE49-F238E27FC236}">
              <a16:creationId xmlns:a16="http://schemas.microsoft.com/office/drawing/2014/main" id="{842E5DA8-0653-0C3C-E693-077815AA6D69}"/>
            </a:ext>
          </a:extLst>
        </xdr:cNvPr>
        <xdr:cNvSpPr txBox="1"/>
      </xdr:nvSpPr>
      <xdr:spPr>
        <a:xfrm>
          <a:off x="3019777" y="1665112"/>
          <a:ext cx="1749778" cy="366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208EC6-EB0F-4D18-A9B0-98EEB026F5DF}" type="TxLink">
            <a:rPr lang="en-US" sz="2000" b="0" i="0" u="none" strike="noStrike">
              <a:solidFill>
                <a:srgbClr val="002060"/>
              </a:solidFill>
              <a:latin typeface="Arial Black" panose="020B0A04020102020204" pitchFamily="34" charset="0"/>
              <a:ea typeface="Calibri"/>
              <a:cs typeface="Calibri"/>
            </a:rPr>
            <a:pPr/>
            <a:t>1470</a:t>
          </a:fld>
          <a:endParaRPr lang="en-IN" sz="2000">
            <a:solidFill>
              <a:srgbClr val="002060"/>
            </a:solidFill>
            <a:latin typeface="Arial Black" panose="020B0A04020102020204" pitchFamily="34" charset="0"/>
          </a:endParaRPr>
        </a:p>
      </xdr:txBody>
    </xdr:sp>
    <xdr:clientData/>
  </xdr:twoCellAnchor>
  <xdr:twoCellAnchor>
    <xdr:from>
      <xdr:col>7</xdr:col>
      <xdr:colOff>169333</xdr:colOff>
      <xdr:row>6</xdr:row>
      <xdr:rowOff>92288</xdr:rowOff>
    </xdr:from>
    <xdr:to>
      <xdr:col>11</xdr:col>
      <xdr:colOff>414300</xdr:colOff>
      <xdr:row>8</xdr:row>
      <xdr:rowOff>101696</xdr:rowOff>
    </xdr:to>
    <xdr:sp macro="" textlink="">
      <xdr:nvSpPr>
        <xdr:cNvPr id="31" name="TextBox 30">
          <a:extLst>
            <a:ext uri="{FF2B5EF4-FFF2-40B4-BE49-F238E27FC236}">
              <a16:creationId xmlns:a16="http://schemas.microsoft.com/office/drawing/2014/main" id="{2C0273A1-A789-439A-98E4-B5D99FC01B3E}"/>
            </a:ext>
          </a:extLst>
        </xdr:cNvPr>
        <xdr:cNvSpPr txBox="1"/>
      </xdr:nvSpPr>
      <xdr:spPr>
        <a:xfrm>
          <a:off x="4882444" y="1277621"/>
          <a:ext cx="2916671" cy="404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chemeClr val="accent2">
                  <a:lumMod val="75000"/>
                </a:schemeClr>
              </a:solidFill>
              <a:latin typeface="Arial Black" panose="020B0A04020102020204" pitchFamily="34" charset="0"/>
            </a:rPr>
            <a:t>Attrition</a:t>
          </a:r>
        </a:p>
      </xdr:txBody>
    </xdr:sp>
    <xdr:clientData/>
  </xdr:twoCellAnchor>
  <xdr:twoCellAnchor>
    <xdr:from>
      <xdr:col>8</xdr:col>
      <xdr:colOff>122672</xdr:colOff>
      <xdr:row>7</xdr:row>
      <xdr:rowOff>129916</xdr:rowOff>
    </xdr:from>
    <xdr:to>
      <xdr:col>10</xdr:col>
      <xdr:colOff>536598</xdr:colOff>
      <xdr:row>10</xdr:row>
      <xdr:rowOff>47037</xdr:rowOff>
    </xdr:to>
    <xdr:sp macro="" textlink="KPI!B8">
      <xdr:nvSpPr>
        <xdr:cNvPr id="32" name="TextBox 31">
          <a:extLst>
            <a:ext uri="{FF2B5EF4-FFF2-40B4-BE49-F238E27FC236}">
              <a16:creationId xmlns:a16="http://schemas.microsoft.com/office/drawing/2014/main" id="{21607D36-A3C5-42FA-B1B0-83CE4C218DBF}"/>
            </a:ext>
          </a:extLst>
        </xdr:cNvPr>
        <xdr:cNvSpPr txBox="1"/>
      </xdr:nvSpPr>
      <xdr:spPr>
        <a:xfrm>
          <a:off x="5503709" y="1512805"/>
          <a:ext cx="1749778" cy="5097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9B1551-0D33-4B3C-910D-C8339E51EBDD}" type="TxLink">
            <a:rPr lang="en-US" sz="2400" b="0" i="0" u="none" strike="noStrike">
              <a:solidFill>
                <a:srgbClr val="002060"/>
              </a:solidFill>
              <a:latin typeface="Arial Black" panose="020B0A04020102020204" pitchFamily="34" charset="0"/>
              <a:ea typeface="Calibri"/>
              <a:cs typeface="Calibri"/>
            </a:rPr>
            <a:pPr algn="ctr"/>
            <a:t>237</a:t>
          </a:fld>
          <a:endParaRPr lang="en-IN" sz="2400">
            <a:solidFill>
              <a:srgbClr val="002060"/>
            </a:solidFill>
            <a:latin typeface="Arial Black" panose="020B0A04020102020204" pitchFamily="34" charset="0"/>
          </a:endParaRPr>
        </a:p>
      </xdr:txBody>
    </xdr:sp>
    <xdr:clientData/>
  </xdr:twoCellAnchor>
  <xdr:twoCellAnchor>
    <xdr:from>
      <xdr:col>12</xdr:col>
      <xdr:colOff>367265</xdr:colOff>
      <xdr:row>7</xdr:row>
      <xdr:rowOff>129917</xdr:rowOff>
    </xdr:from>
    <xdr:to>
      <xdr:col>15</xdr:col>
      <xdr:colOff>113265</xdr:colOff>
      <xdr:row>9</xdr:row>
      <xdr:rowOff>178742</xdr:rowOff>
    </xdr:to>
    <xdr:sp macro="" textlink="KPI!D8">
      <xdr:nvSpPr>
        <xdr:cNvPr id="33" name="TextBox 32">
          <a:extLst>
            <a:ext uri="{FF2B5EF4-FFF2-40B4-BE49-F238E27FC236}">
              <a16:creationId xmlns:a16="http://schemas.microsoft.com/office/drawing/2014/main" id="{BB4D1DB6-D55E-4A2D-946F-11649DB08B38}"/>
            </a:ext>
          </a:extLst>
        </xdr:cNvPr>
        <xdr:cNvSpPr txBox="1"/>
      </xdr:nvSpPr>
      <xdr:spPr>
        <a:xfrm>
          <a:off x="8420006" y="1512806"/>
          <a:ext cx="1749778" cy="443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D8F29FF-C281-41E2-8C3B-F7D757C6BEEF}" type="TxLink">
            <a:rPr lang="en-US" sz="2400" b="0" i="0" u="none" strike="noStrike">
              <a:solidFill>
                <a:srgbClr val="002060"/>
              </a:solidFill>
              <a:latin typeface="Arial Black" panose="020B0A04020102020204" pitchFamily="34" charset="0"/>
              <a:ea typeface="Calibri"/>
              <a:cs typeface="Calibri"/>
            </a:rPr>
            <a:pPr/>
            <a:t>1233</a:t>
          </a:fld>
          <a:endParaRPr lang="en-IN" sz="2400">
            <a:solidFill>
              <a:srgbClr val="002060"/>
            </a:solidFill>
            <a:latin typeface="Arial Black" panose="020B0A04020102020204" pitchFamily="34" charset="0"/>
          </a:endParaRPr>
        </a:p>
      </xdr:txBody>
    </xdr:sp>
    <xdr:clientData/>
  </xdr:twoCellAnchor>
  <xdr:twoCellAnchor>
    <xdr:from>
      <xdr:col>16</xdr:col>
      <xdr:colOff>536598</xdr:colOff>
      <xdr:row>7</xdr:row>
      <xdr:rowOff>188148</xdr:rowOff>
    </xdr:from>
    <xdr:to>
      <xdr:col>19</xdr:col>
      <xdr:colOff>282598</xdr:colOff>
      <xdr:row>10</xdr:row>
      <xdr:rowOff>18814</xdr:rowOff>
    </xdr:to>
    <xdr:sp macro="" textlink="KPI!E8">
      <xdr:nvSpPr>
        <xdr:cNvPr id="34" name="TextBox 33">
          <a:extLst>
            <a:ext uri="{FF2B5EF4-FFF2-40B4-BE49-F238E27FC236}">
              <a16:creationId xmlns:a16="http://schemas.microsoft.com/office/drawing/2014/main" id="{F0A725BB-5693-489F-8835-610210AD6387}"/>
            </a:ext>
          </a:extLst>
        </xdr:cNvPr>
        <xdr:cNvSpPr txBox="1"/>
      </xdr:nvSpPr>
      <xdr:spPr>
        <a:xfrm>
          <a:off x="11261042" y="1571037"/>
          <a:ext cx="1749778" cy="423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D9823DC-DCF3-4677-94D9-EFDEB81A85BF}" type="TxLink">
            <a:rPr lang="en-US" sz="2400" b="0" i="0" u="none" strike="noStrike">
              <a:solidFill>
                <a:srgbClr val="002060"/>
              </a:solidFill>
              <a:latin typeface="Arial Black" panose="020B0A04020102020204" pitchFamily="34" charset="0"/>
              <a:ea typeface="Calibri"/>
              <a:cs typeface="Calibri"/>
            </a:rPr>
            <a:pPr/>
            <a:t>16.12%</a:t>
          </a:fld>
          <a:endParaRPr lang="en-IN" sz="2400">
            <a:solidFill>
              <a:srgbClr val="002060"/>
            </a:solidFill>
            <a:latin typeface="Arial Black" panose="020B0A04020102020204" pitchFamily="34" charset="0"/>
          </a:endParaRPr>
        </a:p>
      </xdr:txBody>
    </xdr:sp>
    <xdr:clientData/>
  </xdr:twoCellAnchor>
  <xdr:twoCellAnchor>
    <xdr:from>
      <xdr:col>21</xdr:col>
      <xdr:colOff>133960</xdr:colOff>
      <xdr:row>7</xdr:row>
      <xdr:rowOff>152400</xdr:rowOff>
    </xdr:from>
    <xdr:to>
      <xdr:col>23</xdr:col>
      <xdr:colOff>547886</xdr:colOff>
      <xdr:row>10</xdr:row>
      <xdr:rowOff>-1</xdr:rowOff>
    </xdr:to>
    <xdr:sp macro="" textlink="KPI!C8">
      <xdr:nvSpPr>
        <xdr:cNvPr id="35" name="TextBox 34">
          <a:extLst>
            <a:ext uri="{FF2B5EF4-FFF2-40B4-BE49-F238E27FC236}">
              <a16:creationId xmlns:a16="http://schemas.microsoft.com/office/drawing/2014/main" id="{70F5C005-3BD1-4851-BDB7-06B52BA2E0CA}"/>
            </a:ext>
          </a:extLst>
        </xdr:cNvPr>
        <xdr:cNvSpPr txBox="1"/>
      </xdr:nvSpPr>
      <xdr:spPr>
        <a:xfrm>
          <a:off x="14198034" y="1535289"/>
          <a:ext cx="1749778" cy="440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C43500-7119-4285-A9C4-F5D7CCB4C1DD}" type="TxLink">
            <a:rPr lang="en-US" sz="2400" b="0" i="0" u="none" strike="noStrike">
              <a:solidFill>
                <a:srgbClr val="002060"/>
              </a:solidFill>
              <a:latin typeface="Arial Black" panose="020B0A04020102020204" pitchFamily="34" charset="0"/>
              <a:ea typeface="Calibri"/>
              <a:cs typeface="Calibri"/>
            </a:rPr>
            <a:pPr/>
            <a:t>37</a:t>
          </a:fld>
          <a:endParaRPr lang="en-IN" sz="2400">
            <a:solidFill>
              <a:srgbClr val="002060"/>
            </a:solidFill>
            <a:latin typeface="Arial Black" panose="020B0A04020102020204" pitchFamily="34" charset="0"/>
          </a:endParaRPr>
        </a:p>
      </xdr:txBody>
    </xdr:sp>
    <xdr:clientData/>
  </xdr:twoCellAnchor>
  <xdr:twoCellAnchor>
    <xdr:from>
      <xdr:col>11</xdr:col>
      <xdr:colOff>406775</xdr:colOff>
      <xdr:row>6</xdr:row>
      <xdr:rowOff>94169</xdr:rowOff>
    </xdr:from>
    <xdr:to>
      <xdr:col>15</xdr:col>
      <xdr:colOff>143367</xdr:colOff>
      <xdr:row>8</xdr:row>
      <xdr:rowOff>103577</xdr:rowOff>
    </xdr:to>
    <xdr:sp macro="" textlink="">
      <xdr:nvSpPr>
        <xdr:cNvPr id="38" name="TextBox 37">
          <a:extLst>
            <a:ext uri="{FF2B5EF4-FFF2-40B4-BE49-F238E27FC236}">
              <a16:creationId xmlns:a16="http://schemas.microsoft.com/office/drawing/2014/main" id="{E5E7CFBB-3463-4556-91D4-03504A20BBAC}"/>
            </a:ext>
          </a:extLst>
        </xdr:cNvPr>
        <xdr:cNvSpPr txBox="1"/>
      </xdr:nvSpPr>
      <xdr:spPr>
        <a:xfrm>
          <a:off x="7791590" y="1279502"/>
          <a:ext cx="2408296" cy="404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solidFill>
                <a:schemeClr val="accent2">
                  <a:lumMod val="75000"/>
                </a:schemeClr>
              </a:solidFill>
              <a:latin typeface="Arial Black" panose="020B0A04020102020204" pitchFamily="34" charset="0"/>
            </a:rPr>
            <a:t>Active</a:t>
          </a:r>
          <a:r>
            <a:rPr lang="en-IN" sz="1400" baseline="0">
              <a:solidFill>
                <a:schemeClr val="accent2">
                  <a:lumMod val="75000"/>
                </a:schemeClr>
              </a:solidFill>
              <a:latin typeface="Arial Black" panose="020B0A04020102020204" pitchFamily="34" charset="0"/>
            </a:rPr>
            <a:t> Employees</a:t>
          </a:r>
          <a:endParaRPr lang="en-IN" sz="1400">
            <a:solidFill>
              <a:schemeClr val="accent2">
                <a:lumMod val="75000"/>
              </a:schemeClr>
            </a:solidFill>
            <a:latin typeface="Arial Black" panose="020B0A04020102020204" pitchFamily="34" charset="0"/>
          </a:endParaRPr>
        </a:p>
      </xdr:txBody>
    </xdr:sp>
    <xdr:clientData/>
  </xdr:twoCellAnchor>
  <xdr:twoCellAnchor>
    <xdr:from>
      <xdr:col>15</xdr:col>
      <xdr:colOff>596804</xdr:colOff>
      <xdr:row>6</xdr:row>
      <xdr:rowOff>124272</xdr:rowOff>
    </xdr:from>
    <xdr:to>
      <xdr:col>19</xdr:col>
      <xdr:colOff>333397</xdr:colOff>
      <xdr:row>8</xdr:row>
      <xdr:rowOff>133680</xdr:rowOff>
    </xdr:to>
    <xdr:sp macro="" textlink="">
      <xdr:nvSpPr>
        <xdr:cNvPr id="39" name="TextBox 38">
          <a:extLst>
            <a:ext uri="{FF2B5EF4-FFF2-40B4-BE49-F238E27FC236}">
              <a16:creationId xmlns:a16="http://schemas.microsoft.com/office/drawing/2014/main" id="{E8BC3D2F-8416-489D-9863-5182DB5BE84B}"/>
            </a:ext>
          </a:extLst>
        </xdr:cNvPr>
        <xdr:cNvSpPr txBox="1"/>
      </xdr:nvSpPr>
      <xdr:spPr>
        <a:xfrm>
          <a:off x="10653323" y="1309605"/>
          <a:ext cx="2408296" cy="404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solidFill>
                <a:schemeClr val="accent2">
                  <a:lumMod val="75000"/>
                </a:schemeClr>
              </a:solidFill>
              <a:latin typeface="Arial Black" panose="020B0A04020102020204" pitchFamily="34" charset="0"/>
            </a:rPr>
            <a:t>Attrition</a:t>
          </a:r>
          <a:r>
            <a:rPr lang="en-IN" sz="1400" baseline="0">
              <a:solidFill>
                <a:schemeClr val="accent2">
                  <a:lumMod val="75000"/>
                </a:schemeClr>
              </a:solidFill>
              <a:latin typeface="Arial Black" panose="020B0A04020102020204" pitchFamily="34" charset="0"/>
            </a:rPr>
            <a:t> Rate</a:t>
          </a:r>
          <a:endParaRPr lang="en-IN" sz="1400">
            <a:solidFill>
              <a:schemeClr val="accent2">
                <a:lumMod val="75000"/>
              </a:schemeClr>
            </a:solidFill>
            <a:latin typeface="Arial Black" panose="020B0A04020102020204" pitchFamily="34" charset="0"/>
          </a:endParaRPr>
        </a:p>
      </xdr:txBody>
    </xdr:sp>
    <xdr:clientData/>
  </xdr:twoCellAnchor>
  <xdr:twoCellAnchor>
    <xdr:from>
      <xdr:col>20</xdr:col>
      <xdr:colOff>147130</xdr:colOff>
      <xdr:row>6</xdr:row>
      <xdr:rowOff>88524</xdr:rowOff>
    </xdr:from>
    <xdr:to>
      <xdr:col>23</xdr:col>
      <xdr:colOff>551648</xdr:colOff>
      <xdr:row>8</xdr:row>
      <xdr:rowOff>97932</xdr:rowOff>
    </xdr:to>
    <xdr:sp macro="" textlink="">
      <xdr:nvSpPr>
        <xdr:cNvPr id="40" name="TextBox 39">
          <a:extLst>
            <a:ext uri="{FF2B5EF4-FFF2-40B4-BE49-F238E27FC236}">
              <a16:creationId xmlns:a16="http://schemas.microsoft.com/office/drawing/2014/main" id="{08AE39A0-8C7C-487B-BEA2-76FFB96B12D0}"/>
            </a:ext>
          </a:extLst>
        </xdr:cNvPr>
        <xdr:cNvSpPr txBox="1"/>
      </xdr:nvSpPr>
      <xdr:spPr>
        <a:xfrm>
          <a:off x="13543278" y="1273857"/>
          <a:ext cx="2408296" cy="404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solidFill>
                <a:schemeClr val="accent2">
                  <a:lumMod val="75000"/>
                </a:schemeClr>
              </a:solidFill>
              <a:latin typeface="Arial Black" panose="020B0A04020102020204" pitchFamily="34" charset="0"/>
            </a:rPr>
            <a:t>Average</a:t>
          </a:r>
          <a:r>
            <a:rPr lang="en-IN" sz="1400" baseline="0">
              <a:solidFill>
                <a:schemeClr val="accent2">
                  <a:lumMod val="75000"/>
                </a:schemeClr>
              </a:solidFill>
              <a:latin typeface="Arial Black" panose="020B0A04020102020204" pitchFamily="34" charset="0"/>
            </a:rPr>
            <a:t> Age</a:t>
          </a:r>
          <a:endParaRPr lang="en-IN" sz="1400">
            <a:solidFill>
              <a:schemeClr val="accent2">
                <a:lumMod val="75000"/>
              </a:schemeClr>
            </a:solidFill>
            <a:latin typeface="Arial Black" panose="020B0A04020102020204" pitchFamily="34" charset="0"/>
          </a:endParaRPr>
        </a:p>
      </xdr:txBody>
    </xdr:sp>
    <xdr:clientData/>
  </xdr:twoCellAnchor>
  <xdr:oneCellAnchor>
    <xdr:from>
      <xdr:col>5</xdr:col>
      <xdr:colOff>583260</xdr:colOff>
      <xdr:row>6</xdr:row>
      <xdr:rowOff>103483</xdr:rowOff>
    </xdr:from>
    <xdr:ext cx="724370" cy="583258"/>
    <xdr:pic>
      <xdr:nvPicPr>
        <xdr:cNvPr id="36" name="image4.png">
          <a:extLst>
            <a:ext uri="{FF2B5EF4-FFF2-40B4-BE49-F238E27FC236}">
              <a16:creationId xmlns:a16="http://schemas.microsoft.com/office/drawing/2014/main" id="{3DE4B0F3-E778-4029-AF45-9E5C129D30B7}"/>
            </a:ext>
          </a:extLst>
        </xdr:cNvPr>
        <xdr:cNvPicPr preferRelativeResize="0"/>
      </xdr:nvPicPr>
      <xdr:blipFill>
        <a:blip xmlns:r="http://schemas.openxmlformats.org/officeDocument/2006/relationships" r:embed="rId1" cstate="print"/>
        <a:stretch>
          <a:fillRect/>
        </a:stretch>
      </xdr:blipFill>
      <xdr:spPr>
        <a:xfrm>
          <a:off x="3960519" y="1288816"/>
          <a:ext cx="724370" cy="583258"/>
        </a:xfrm>
        <a:prstGeom prst="rect">
          <a:avLst/>
        </a:prstGeom>
        <a:noFill/>
      </xdr:spPr>
    </xdr:pic>
    <xdr:clientData fLocksWithSheet="0"/>
  </xdr:oneCellAnchor>
  <xdr:oneCellAnchor>
    <xdr:from>
      <xdr:col>14</xdr:col>
      <xdr:colOff>385703</xdr:colOff>
      <xdr:row>6</xdr:row>
      <xdr:rowOff>188149</xdr:rowOff>
    </xdr:from>
    <xdr:ext cx="583260" cy="536222"/>
    <xdr:pic>
      <xdr:nvPicPr>
        <xdr:cNvPr id="37" name="image5.png">
          <a:extLst>
            <a:ext uri="{FF2B5EF4-FFF2-40B4-BE49-F238E27FC236}">
              <a16:creationId xmlns:a16="http://schemas.microsoft.com/office/drawing/2014/main" id="{A648BF31-272F-4EA5-BB6B-0F6C03182AD5}"/>
            </a:ext>
          </a:extLst>
        </xdr:cNvPr>
        <xdr:cNvPicPr preferRelativeResize="0"/>
      </xdr:nvPicPr>
      <xdr:blipFill>
        <a:blip xmlns:r="http://schemas.openxmlformats.org/officeDocument/2006/relationships" r:embed="rId2" cstate="print"/>
        <a:stretch>
          <a:fillRect/>
        </a:stretch>
      </xdr:blipFill>
      <xdr:spPr>
        <a:xfrm>
          <a:off x="9774296" y="1373482"/>
          <a:ext cx="583260" cy="536222"/>
        </a:xfrm>
        <a:prstGeom prst="rect">
          <a:avLst/>
        </a:prstGeom>
        <a:noFill/>
      </xdr:spPr>
    </xdr:pic>
    <xdr:clientData fLocksWithSheet="0"/>
  </xdr:oneCellAnchor>
  <xdr:oneCellAnchor>
    <xdr:from>
      <xdr:col>10</xdr:col>
      <xdr:colOff>159926</xdr:colOff>
      <xdr:row>6</xdr:row>
      <xdr:rowOff>112889</xdr:rowOff>
    </xdr:from>
    <xdr:ext cx="645701" cy="761999"/>
    <xdr:pic>
      <xdr:nvPicPr>
        <xdr:cNvPr id="41" name="image7.png">
          <a:extLst>
            <a:ext uri="{FF2B5EF4-FFF2-40B4-BE49-F238E27FC236}">
              <a16:creationId xmlns:a16="http://schemas.microsoft.com/office/drawing/2014/main" id="{4D168169-A07A-4AB8-8005-5A24139A49F9}"/>
            </a:ext>
          </a:extLst>
        </xdr:cNvPr>
        <xdr:cNvPicPr preferRelativeResize="0"/>
      </xdr:nvPicPr>
      <xdr:blipFill>
        <a:blip xmlns:r="http://schemas.openxmlformats.org/officeDocument/2006/relationships" r:embed="rId3" cstate="print"/>
        <a:stretch>
          <a:fillRect/>
        </a:stretch>
      </xdr:blipFill>
      <xdr:spPr>
        <a:xfrm>
          <a:off x="6876815" y="1298222"/>
          <a:ext cx="645701" cy="761999"/>
        </a:xfrm>
        <a:prstGeom prst="rect">
          <a:avLst/>
        </a:prstGeom>
        <a:noFill/>
      </xdr:spPr>
    </xdr:pic>
    <xdr:clientData fLocksWithSheet="0"/>
  </xdr:oneCellAnchor>
  <xdr:oneCellAnchor>
    <xdr:from>
      <xdr:col>18</xdr:col>
      <xdr:colOff>564444</xdr:colOff>
      <xdr:row>6</xdr:row>
      <xdr:rowOff>103483</xdr:rowOff>
    </xdr:from>
    <xdr:ext cx="555037" cy="686740"/>
    <xdr:pic>
      <xdr:nvPicPr>
        <xdr:cNvPr id="42" name="image2.png">
          <a:extLst>
            <a:ext uri="{FF2B5EF4-FFF2-40B4-BE49-F238E27FC236}">
              <a16:creationId xmlns:a16="http://schemas.microsoft.com/office/drawing/2014/main" id="{5E71687B-729C-4F80-8EE3-480C6500761D}"/>
            </a:ext>
          </a:extLst>
        </xdr:cNvPr>
        <xdr:cNvPicPr preferRelativeResize="0"/>
      </xdr:nvPicPr>
      <xdr:blipFill>
        <a:blip xmlns:r="http://schemas.openxmlformats.org/officeDocument/2006/relationships" r:embed="rId4" cstate="print"/>
        <a:stretch>
          <a:fillRect/>
        </a:stretch>
      </xdr:blipFill>
      <xdr:spPr>
        <a:xfrm>
          <a:off x="12624740" y="1288816"/>
          <a:ext cx="555037" cy="686740"/>
        </a:xfrm>
        <a:prstGeom prst="rect">
          <a:avLst/>
        </a:prstGeom>
        <a:noFill/>
      </xdr:spPr>
    </xdr:pic>
    <xdr:clientData fLocksWithSheet="0"/>
  </xdr:oneCellAnchor>
  <xdr:oneCellAnchor>
    <xdr:from>
      <xdr:col>22</xdr:col>
      <xdr:colOff>385705</xdr:colOff>
      <xdr:row>6</xdr:row>
      <xdr:rowOff>122297</xdr:rowOff>
    </xdr:from>
    <xdr:ext cx="809036" cy="743185"/>
    <xdr:pic>
      <xdr:nvPicPr>
        <xdr:cNvPr id="43" name="image6.png">
          <a:extLst>
            <a:ext uri="{FF2B5EF4-FFF2-40B4-BE49-F238E27FC236}">
              <a16:creationId xmlns:a16="http://schemas.microsoft.com/office/drawing/2014/main" id="{EEDF4C24-DFB7-4137-AE03-71AA28F75637}"/>
            </a:ext>
          </a:extLst>
        </xdr:cNvPr>
        <xdr:cNvPicPr preferRelativeResize="0"/>
      </xdr:nvPicPr>
      <xdr:blipFill>
        <a:blip xmlns:r="http://schemas.openxmlformats.org/officeDocument/2006/relationships" r:embed="rId5" cstate="print"/>
        <a:stretch>
          <a:fillRect/>
        </a:stretch>
      </xdr:blipFill>
      <xdr:spPr>
        <a:xfrm>
          <a:off x="15117705" y="1307630"/>
          <a:ext cx="809036" cy="743185"/>
        </a:xfrm>
        <a:prstGeom prst="rect">
          <a:avLst/>
        </a:prstGeom>
        <a:noFill/>
      </xdr:spPr>
    </xdr:pic>
    <xdr:clientData fLocksWithSheet="0"/>
  </xdr:oneCellAnchor>
  <xdr:twoCellAnchor>
    <xdr:from>
      <xdr:col>5</xdr:col>
      <xdr:colOff>65852</xdr:colOff>
      <xdr:row>1</xdr:row>
      <xdr:rowOff>178740</xdr:rowOff>
    </xdr:from>
    <xdr:to>
      <xdr:col>15</xdr:col>
      <xdr:colOff>630296</xdr:colOff>
      <xdr:row>4</xdr:row>
      <xdr:rowOff>159926</xdr:rowOff>
    </xdr:to>
    <xdr:sp macro="" textlink="">
      <xdr:nvSpPr>
        <xdr:cNvPr id="44" name="TextBox 43">
          <a:extLst>
            <a:ext uri="{FF2B5EF4-FFF2-40B4-BE49-F238E27FC236}">
              <a16:creationId xmlns:a16="http://schemas.microsoft.com/office/drawing/2014/main" id="{D32CD854-5E34-EDC8-0F31-E2927F5EC391}"/>
            </a:ext>
          </a:extLst>
        </xdr:cNvPr>
        <xdr:cNvSpPr txBox="1"/>
      </xdr:nvSpPr>
      <xdr:spPr>
        <a:xfrm>
          <a:off x="3443111" y="376296"/>
          <a:ext cx="7243704" cy="573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latin typeface="Arial Black" panose="020B0A04020102020204" pitchFamily="34" charset="0"/>
            </a:rPr>
            <a:t>HR ANALYTICS DASHBOARD</a:t>
          </a:r>
        </a:p>
      </xdr:txBody>
    </xdr:sp>
    <xdr:clientData/>
  </xdr:twoCellAnchor>
  <xdr:oneCellAnchor>
    <xdr:from>
      <xdr:col>3</xdr:col>
      <xdr:colOff>310445</xdr:colOff>
      <xdr:row>2</xdr:row>
      <xdr:rowOff>9408</xdr:rowOff>
    </xdr:from>
    <xdr:ext cx="799629" cy="552097"/>
    <xdr:pic>
      <xdr:nvPicPr>
        <xdr:cNvPr id="45" name="image1.png">
          <a:extLst>
            <a:ext uri="{FF2B5EF4-FFF2-40B4-BE49-F238E27FC236}">
              <a16:creationId xmlns:a16="http://schemas.microsoft.com/office/drawing/2014/main" id="{AA7BA88C-C673-4C50-AFE5-AB0EFA6F7B78}"/>
            </a:ext>
          </a:extLst>
        </xdr:cNvPr>
        <xdr:cNvPicPr preferRelativeResize="0"/>
      </xdr:nvPicPr>
      <xdr:blipFill>
        <a:blip xmlns:r="http://schemas.openxmlformats.org/officeDocument/2006/relationships" r:embed="rId6" cstate="print"/>
        <a:stretch>
          <a:fillRect/>
        </a:stretch>
      </xdr:blipFill>
      <xdr:spPr>
        <a:xfrm>
          <a:off x="2351852" y="404519"/>
          <a:ext cx="799629" cy="552097"/>
        </a:xfrm>
        <a:prstGeom prst="rect">
          <a:avLst/>
        </a:prstGeom>
        <a:noFill/>
      </xdr:spPr>
    </xdr:pic>
    <xdr:clientData fLocksWithSheet="0"/>
  </xdr:oneCellAnchor>
  <xdr:oneCellAnchor>
    <xdr:from>
      <xdr:col>15</xdr:col>
      <xdr:colOff>470369</xdr:colOff>
      <xdr:row>1</xdr:row>
      <xdr:rowOff>131704</xdr:rowOff>
    </xdr:from>
    <xdr:ext cx="723900" cy="628650"/>
    <xdr:pic>
      <xdr:nvPicPr>
        <xdr:cNvPr id="46" name="image3.png">
          <a:extLst>
            <a:ext uri="{FF2B5EF4-FFF2-40B4-BE49-F238E27FC236}">
              <a16:creationId xmlns:a16="http://schemas.microsoft.com/office/drawing/2014/main" id="{CDA479FF-FA57-458A-9C3C-13E09F528D07}"/>
            </a:ext>
          </a:extLst>
        </xdr:cNvPr>
        <xdr:cNvPicPr preferRelativeResize="0"/>
      </xdr:nvPicPr>
      <xdr:blipFill>
        <a:blip xmlns:r="http://schemas.openxmlformats.org/officeDocument/2006/relationships" r:embed="rId7" cstate="print"/>
        <a:stretch>
          <a:fillRect/>
        </a:stretch>
      </xdr:blipFill>
      <xdr:spPr>
        <a:xfrm>
          <a:off x="10526888" y="329260"/>
          <a:ext cx="723900" cy="628650"/>
        </a:xfrm>
        <a:prstGeom prst="rect">
          <a:avLst/>
        </a:prstGeom>
        <a:noFill/>
      </xdr:spPr>
    </xdr:pic>
    <xdr:clientData fLocksWithSheet="0"/>
  </xdr:oneCellAnchor>
  <xdr:twoCellAnchor>
    <xdr:from>
      <xdr:col>16</xdr:col>
      <xdr:colOff>9408</xdr:colOff>
      <xdr:row>1</xdr:row>
      <xdr:rowOff>65851</xdr:rowOff>
    </xdr:from>
    <xdr:to>
      <xdr:col>21</xdr:col>
      <xdr:colOff>498593</xdr:colOff>
      <xdr:row>6</xdr:row>
      <xdr:rowOff>37630</xdr:rowOff>
    </xdr:to>
    <xdr:sp macro="" textlink="">
      <xdr:nvSpPr>
        <xdr:cNvPr id="47" name="TextBox 46">
          <a:extLst>
            <a:ext uri="{FF2B5EF4-FFF2-40B4-BE49-F238E27FC236}">
              <a16:creationId xmlns:a16="http://schemas.microsoft.com/office/drawing/2014/main" id="{7CD26790-EB3D-E6BA-0B93-076A9DC3E3CE}"/>
            </a:ext>
          </a:extLst>
        </xdr:cNvPr>
        <xdr:cNvSpPr txBox="1"/>
      </xdr:nvSpPr>
      <xdr:spPr>
        <a:xfrm>
          <a:off x="10733852" y="263407"/>
          <a:ext cx="3828815" cy="9595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C00000"/>
              </a:solidFill>
              <a:latin typeface="Arial Black" panose="020B0A04020102020204" pitchFamily="34" charset="0"/>
            </a:rPr>
            <a:t>JOB </a:t>
          </a:r>
        </a:p>
        <a:p>
          <a:pPr algn="ctr"/>
          <a:r>
            <a:rPr lang="en-IN" sz="1400">
              <a:solidFill>
                <a:srgbClr val="C00000"/>
              </a:solidFill>
              <a:latin typeface="Arial Black" panose="020B0A04020102020204" pitchFamily="34" charset="0"/>
            </a:rPr>
            <a:t>SATISFACTION </a:t>
          </a:r>
        </a:p>
        <a:p>
          <a:pPr algn="ctr"/>
          <a:r>
            <a:rPr lang="en-IN" sz="1400">
              <a:solidFill>
                <a:srgbClr val="C00000"/>
              </a:solidFill>
              <a:latin typeface="Arial Black" panose="020B0A04020102020204" pitchFamily="34" charset="0"/>
            </a:rPr>
            <a:t>RATING</a:t>
          </a:r>
        </a:p>
      </xdr:txBody>
    </xdr:sp>
    <xdr:clientData/>
  </xdr:twoCellAnchor>
  <xdr:twoCellAnchor>
    <xdr:from>
      <xdr:col>19</xdr:col>
      <xdr:colOff>517408</xdr:colOff>
      <xdr:row>0</xdr:row>
      <xdr:rowOff>169333</xdr:rowOff>
    </xdr:from>
    <xdr:to>
      <xdr:col>22</xdr:col>
      <xdr:colOff>28222</xdr:colOff>
      <xdr:row>5</xdr:row>
      <xdr:rowOff>197554</xdr:rowOff>
    </xdr:to>
    <xdr:graphicFrame macro="">
      <xdr:nvGraphicFramePr>
        <xdr:cNvPr id="48" name="Chart 47">
          <a:extLst>
            <a:ext uri="{FF2B5EF4-FFF2-40B4-BE49-F238E27FC236}">
              <a16:creationId xmlns:a16="http://schemas.microsoft.com/office/drawing/2014/main" id="{03413498-1ED8-42DC-A5D0-5F96FEEDB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376296</xdr:colOff>
      <xdr:row>2</xdr:row>
      <xdr:rowOff>122296</xdr:rowOff>
    </xdr:from>
    <xdr:to>
      <xdr:col>21</xdr:col>
      <xdr:colOff>235186</xdr:colOff>
      <xdr:row>4</xdr:row>
      <xdr:rowOff>56445</xdr:rowOff>
    </xdr:to>
    <xdr:sp macro="" textlink="Rating!B6">
      <xdr:nvSpPr>
        <xdr:cNvPr id="49" name="TextBox 48">
          <a:extLst>
            <a:ext uri="{FF2B5EF4-FFF2-40B4-BE49-F238E27FC236}">
              <a16:creationId xmlns:a16="http://schemas.microsoft.com/office/drawing/2014/main" id="{B867C921-8C00-3D90-2F55-F70425802932}"/>
            </a:ext>
          </a:extLst>
        </xdr:cNvPr>
        <xdr:cNvSpPr txBox="1"/>
      </xdr:nvSpPr>
      <xdr:spPr>
        <a:xfrm>
          <a:off x="13772444" y="517407"/>
          <a:ext cx="526816" cy="329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6A7E5A-CE02-4E9A-BDF4-4F6EB376C5B8}" type="TxLink">
            <a:rPr lang="en-US" sz="1200" b="0" i="0" u="none" strike="noStrike">
              <a:solidFill>
                <a:srgbClr val="000000"/>
              </a:solidFill>
              <a:latin typeface="Arial Black" panose="020B0A04020102020204" pitchFamily="34" charset="0"/>
              <a:ea typeface="Calibri"/>
              <a:cs typeface="Calibri"/>
            </a:rPr>
            <a:pPr/>
            <a:t>2.6</a:t>
          </a:fld>
          <a:endParaRPr lang="en-IN" sz="1200">
            <a:latin typeface="Arial Black" panose="020B0A04020102020204" pitchFamily="34" charset="0"/>
          </a:endParaRPr>
        </a:p>
      </xdr:txBody>
    </xdr:sp>
    <xdr:clientData/>
  </xdr:twoCellAnchor>
  <xdr:twoCellAnchor>
    <xdr:from>
      <xdr:col>21</xdr:col>
      <xdr:colOff>235185</xdr:colOff>
      <xdr:row>1</xdr:row>
      <xdr:rowOff>150518</xdr:rowOff>
    </xdr:from>
    <xdr:to>
      <xdr:col>23</xdr:col>
      <xdr:colOff>658518</xdr:colOff>
      <xdr:row>4</xdr:row>
      <xdr:rowOff>169334</xdr:rowOff>
    </xdr:to>
    <xdr:graphicFrame macro="">
      <xdr:nvGraphicFramePr>
        <xdr:cNvPr id="51" name="Chart 50">
          <a:extLst>
            <a:ext uri="{FF2B5EF4-FFF2-40B4-BE49-F238E27FC236}">
              <a16:creationId xmlns:a16="http://schemas.microsoft.com/office/drawing/2014/main" id="{1C83E13F-FD5D-4E02-819F-40ECFBB1DA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376294</xdr:colOff>
      <xdr:row>2</xdr:row>
      <xdr:rowOff>65854</xdr:rowOff>
    </xdr:from>
    <xdr:to>
      <xdr:col>23</xdr:col>
      <xdr:colOff>583258</xdr:colOff>
      <xdr:row>4</xdr:row>
      <xdr:rowOff>37631</xdr:rowOff>
    </xdr:to>
    <xdr:sp macro="" textlink="">
      <xdr:nvSpPr>
        <xdr:cNvPr id="52" name="Freeform: Shape 51">
          <a:extLst>
            <a:ext uri="{FF2B5EF4-FFF2-40B4-BE49-F238E27FC236}">
              <a16:creationId xmlns:a16="http://schemas.microsoft.com/office/drawing/2014/main" id="{9BB2C4D0-7AD6-B810-2A30-95FA4BB1E4F6}"/>
            </a:ext>
          </a:extLst>
        </xdr:cNvPr>
        <xdr:cNvSpPr/>
      </xdr:nvSpPr>
      <xdr:spPr>
        <a:xfrm>
          <a:off x="14440368" y="460965"/>
          <a:ext cx="1542816" cy="366888"/>
        </a:xfrm>
        <a:custGeom>
          <a:avLst/>
          <a:gdLst>
            <a:gd name="csX0" fmla="*/ 892277 w 2379410"/>
            <a:gd name="csY0" fmla="*/ 14746 h 594849"/>
            <a:gd name="csX1" fmla="*/ 822065 w 2379410"/>
            <a:gd name="csY1" fmla="*/ 230695 h 594849"/>
            <a:gd name="csX2" fmla="*/ 594852 w 2379410"/>
            <a:gd name="csY2" fmla="*/ 230693 h 594849"/>
            <a:gd name="csX3" fmla="*/ 778672 w 2379410"/>
            <a:gd name="csY3" fmla="*/ 364156 h 594849"/>
            <a:gd name="csX4" fmla="*/ 708458 w 2379410"/>
            <a:gd name="csY4" fmla="*/ 580104 h 594849"/>
            <a:gd name="csX5" fmla="*/ 892277 w 2379410"/>
            <a:gd name="csY5" fmla="*/ 446639 h 594849"/>
            <a:gd name="csX6" fmla="*/ 1076096 w 2379410"/>
            <a:gd name="csY6" fmla="*/ 580104 h 594849"/>
            <a:gd name="csX7" fmla="*/ 1005882 w 2379410"/>
            <a:gd name="csY7" fmla="*/ 364156 h 594849"/>
            <a:gd name="csX8" fmla="*/ 1189702 w 2379410"/>
            <a:gd name="csY8" fmla="*/ 230693 h 594849"/>
            <a:gd name="csX9" fmla="*/ 962489 w 2379410"/>
            <a:gd name="csY9" fmla="*/ 230695 h 594849"/>
            <a:gd name="csX10" fmla="*/ 1487129 w 2379410"/>
            <a:gd name="csY10" fmla="*/ 1 h 594849"/>
            <a:gd name="csX11" fmla="*/ 1416917 w 2379410"/>
            <a:gd name="csY11" fmla="*/ 221582 h 594849"/>
            <a:gd name="csX12" fmla="*/ 1189704 w 2379410"/>
            <a:gd name="csY12" fmla="*/ 221580 h 594849"/>
            <a:gd name="csX13" fmla="*/ 1373524 w 2379410"/>
            <a:gd name="csY13" fmla="*/ 358523 h 594849"/>
            <a:gd name="csX14" fmla="*/ 1303310 w 2379410"/>
            <a:gd name="csY14" fmla="*/ 580103 h 594849"/>
            <a:gd name="csX15" fmla="*/ 1487129 w 2379410"/>
            <a:gd name="csY15" fmla="*/ 443157 h 594849"/>
            <a:gd name="csX16" fmla="*/ 1670948 w 2379410"/>
            <a:gd name="csY16" fmla="*/ 580103 h 594849"/>
            <a:gd name="csX17" fmla="*/ 1600734 w 2379410"/>
            <a:gd name="csY17" fmla="*/ 358523 h 594849"/>
            <a:gd name="csX18" fmla="*/ 1784554 w 2379410"/>
            <a:gd name="csY18" fmla="*/ 221580 h 594849"/>
            <a:gd name="csX19" fmla="*/ 1557341 w 2379410"/>
            <a:gd name="csY19" fmla="*/ 221582 h 594849"/>
            <a:gd name="csX20" fmla="*/ 0 w 2379410"/>
            <a:gd name="csY20" fmla="*/ 0 h 594849"/>
            <a:gd name="csX21" fmla="*/ 2081983 w 2379410"/>
            <a:gd name="csY21" fmla="*/ 0 h 594849"/>
            <a:gd name="csX22" fmla="*/ 2011771 w 2379410"/>
            <a:gd name="csY22" fmla="*/ 221581 h 594849"/>
            <a:gd name="csX23" fmla="*/ 1784557 w 2379410"/>
            <a:gd name="csY23" fmla="*/ 221579 h 594849"/>
            <a:gd name="csX24" fmla="*/ 1968378 w 2379410"/>
            <a:gd name="csY24" fmla="*/ 358522 h 594849"/>
            <a:gd name="csX25" fmla="*/ 1898163 w 2379410"/>
            <a:gd name="csY25" fmla="*/ 580102 h 594849"/>
            <a:gd name="csX26" fmla="*/ 2081983 w 2379410"/>
            <a:gd name="csY26" fmla="*/ 443156 h 594849"/>
            <a:gd name="csX27" fmla="*/ 2265802 w 2379410"/>
            <a:gd name="csY27" fmla="*/ 580102 h 594849"/>
            <a:gd name="csX28" fmla="*/ 2195587 w 2379410"/>
            <a:gd name="csY28" fmla="*/ 358522 h 594849"/>
            <a:gd name="csX29" fmla="*/ 2379408 w 2379410"/>
            <a:gd name="csY29" fmla="*/ 221579 h 594849"/>
            <a:gd name="csX30" fmla="*/ 2152194 w 2379410"/>
            <a:gd name="csY30" fmla="*/ 221581 h 594849"/>
            <a:gd name="csX31" fmla="*/ 2081983 w 2379410"/>
            <a:gd name="csY31" fmla="*/ 0 h 594849"/>
            <a:gd name="csX32" fmla="*/ 2379410 w 2379410"/>
            <a:gd name="csY32" fmla="*/ 0 h 594849"/>
            <a:gd name="csX33" fmla="*/ 2379410 w 2379410"/>
            <a:gd name="csY33" fmla="*/ 594849 h 594849"/>
            <a:gd name="csX34" fmla="*/ 0 w 2379410"/>
            <a:gd name="csY34" fmla="*/ 594849 h 594849"/>
            <a:gd name="csX35" fmla="*/ 0 w 2379410"/>
            <a:gd name="csY35" fmla="*/ 236325 h 594849"/>
            <a:gd name="csX36" fmla="*/ 183820 w 2379410"/>
            <a:gd name="csY36" fmla="*/ 373268 h 594849"/>
            <a:gd name="csX37" fmla="*/ 113606 w 2379410"/>
            <a:gd name="csY37" fmla="*/ 594848 h 594849"/>
            <a:gd name="csX38" fmla="*/ 297425 w 2379410"/>
            <a:gd name="csY38" fmla="*/ 457902 h 594849"/>
            <a:gd name="csX39" fmla="*/ 481244 w 2379410"/>
            <a:gd name="csY39" fmla="*/ 594848 h 594849"/>
            <a:gd name="csX40" fmla="*/ 411030 w 2379410"/>
            <a:gd name="csY40" fmla="*/ 373268 h 594849"/>
            <a:gd name="csX41" fmla="*/ 594850 w 2379410"/>
            <a:gd name="csY41" fmla="*/ 236325 h 594849"/>
            <a:gd name="csX42" fmla="*/ 367637 w 2379410"/>
            <a:gd name="csY42" fmla="*/ 236327 h 594849"/>
            <a:gd name="csX43" fmla="*/ 297425 w 2379410"/>
            <a:gd name="csY43" fmla="*/ 14746 h 594849"/>
            <a:gd name="csX44" fmla="*/ 227213 w 2379410"/>
            <a:gd name="csY44" fmla="*/ 236327 h 594849"/>
            <a:gd name="csX45" fmla="*/ 0 w 2379410"/>
            <a:gd name="csY45" fmla="*/ 236325 h 594849"/>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Lst>
          <a:rect l="l" t="t" r="r" b="b"/>
          <a:pathLst>
            <a:path w="2379410" h="594849">
              <a:moveTo>
                <a:pt x="892277" y="14746"/>
              </a:moveTo>
              <a:lnTo>
                <a:pt x="822065" y="230695"/>
              </a:lnTo>
              <a:lnTo>
                <a:pt x="594852" y="230693"/>
              </a:lnTo>
              <a:lnTo>
                <a:pt x="778672" y="364156"/>
              </a:lnTo>
              <a:lnTo>
                <a:pt x="708458" y="580104"/>
              </a:lnTo>
              <a:lnTo>
                <a:pt x="892277" y="446639"/>
              </a:lnTo>
              <a:lnTo>
                <a:pt x="1076096" y="580104"/>
              </a:lnTo>
              <a:lnTo>
                <a:pt x="1005882" y="364156"/>
              </a:lnTo>
              <a:lnTo>
                <a:pt x="1189702" y="230693"/>
              </a:lnTo>
              <a:lnTo>
                <a:pt x="962489" y="230695"/>
              </a:lnTo>
              <a:close/>
              <a:moveTo>
                <a:pt x="1487129" y="1"/>
              </a:moveTo>
              <a:lnTo>
                <a:pt x="1416917" y="221582"/>
              </a:lnTo>
              <a:lnTo>
                <a:pt x="1189704" y="221580"/>
              </a:lnTo>
              <a:lnTo>
                <a:pt x="1373524" y="358523"/>
              </a:lnTo>
              <a:lnTo>
                <a:pt x="1303310" y="580103"/>
              </a:lnTo>
              <a:lnTo>
                <a:pt x="1487129" y="443157"/>
              </a:lnTo>
              <a:lnTo>
                <a:pt x="1670948" y="580103"/>
              </a:lnTo>
              <a:lnTo>
                <a:pt x="1600734" y="358523"/>
              </a:lnTo>
              <a:lnTo>
                <a:pt x="1784554" y="221580"/>
              </a:lnTo>
              <a:lnTo>
                <a:pt x="1557341" y="221582"/>
              </a:lnTo>
              <a:close/>
              <a:moveTo>
                <a:pt x="0" y="0"/>
              </a:moveTo>
              <a:lnTo>
                <a:pt x="2081983" y="0"/>
              </a:lnTo>
              <a:lnTo>
                <a:pt x="2011771" y="221581"/>
              </a:lnTo>
              <a:lnTo>
                <a:pt x="1784557" y="221579"/>
              </a:lnTo>
              <a:lnTo>
                <a:pt x="1968378" y="358522"/>
              </a:lnTo>
              <a:lnTo>
                <a:pt x="1898163" y="580102"/>
              </a:lnTo>
              <a:lnTo>
                <a:pt x="2081983" y="443156"/>
              </a:lnTo>
              <a:lnTo>
                <a:pt x="2265802" y="580102"/>
              </a:lnTo>
              <a:lnTo>
                <a:pt x="2195587" y="358522"/>
              </a:lnTo>
              <a:lnTo>
                <a:pt x="2379408" y="221579"/>
              </a:lnTo>
              <a:lnTo>
                <a:pt x="2152194" y="221581"/>
              </a:lnTo>
              <a:lnTo>
                <a:pt x="2081983" y="0"/>
              </a:lnTo>
              <a:lnTo>
                <a:pt x="2379410" y="0"/>
              </a:lnTo>
              <a:lnTo>
                <a:pt x="2379410" y="594849"/>
              </a:lnTo>
              <a:lnTo>
                <a:pt x="0" y="594849"/>
              </a:lnTo>
              <a:lnTo>
                <a:pt x="0" y="236325"/>
              </a:lnTo>
              <a:lnTo>
                <a:pt x="183820" y="373268"/>
              </a:lnTo>
              <a:lnTo>
                <a:pt x="113606" y="594848"/>
              </a:lnTo>
              <a:lnTo>
                <a:pt x="297425" y="457902"/>
              </a:lnTo>
              <a:lnTo>
                <a:pt x="481244" y="594848"/>
              </a:lnTo>
              <a:lnTo>
                <a:pt x="411030" y="373268"/>
              </a:lnTo>
              <a:lnTo>
                <a:pt x="594850" y="236325"/>
              </a:lnTo>
              <a:lnTo>
                <a:pt x="367637" y="236327"/>
              </a:lnTo>
              <a:lnTo>
                <a:pt x="297425" y="14746"/>
              </a:lnTo>
              <a:lnTo>
                <a:pt x="227213" y="236327"/>
              </a:lnTo>
              <a:lnTo>
                <a:pt x="0" y="236325"/>
              </a:lnTo>
              <a:close/>
            </a:path>
          </a:pathLst>
        </a:cu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3</xdr:col>
      <xdr:colOff>112889</xdr:colOff>
      <xdr:row>17</xdr:row>
      <xdr:rowOff>84667</xdr:rowOff>
    </xdr:from>
    <xdr:to>
      <xdr:col>9</xdr:col>
      <xdr:colOff>104525</xdr:colOff>
      <xdr:row>24</xdr:row>
      <xdr:rowOff>141778</xdr:rowOff>
    </xdr:to>
    <xdr:grpSp>
      <xdr:nvGrpSpPr>
        <xdr:cNvPr id="66" name="Group 65">
          <a:extLst>
            <a:ext uri="{FF2B5EF4-FFF2-40B4-BE49-F238E27FC236}">
              <a16:creationId xmlns:a16="http://schemas.microsoft.com/office/drawing/2014/main" id="{FF41EE1C-EAC1-1B36-A931-9E9F0D610317}"/>
            </a:ext>
          </a:extLst>
        </xdr:cNvPr>
        <xdr:cNvGrpSpPr/>
      </xdr:nvGrpSpPr>
      <xdr:grpSpPr>
        <a:xfrm>
          <a:off x="2166976" y="3463971"/>
          <a:ext cx="4016984" cy="1448590"/>
          <a:chOff x="2154296" y="3443111"/>
          <a:chExt cx="3999192" cy="1440000"/>
        </a:xfrm>
      </xdr:grpSpPr>
      <xdr:graphicFrame macro="">
        <xdr:nvGraphicFramePr>
          <xdr:cNvPr id="54" name="Chart 53">
            <a:extLst>
              <a:ext uri="{FF2B5EF4-FFF2-40B4-BE49-F238E27FC236}">
                <a16:creationId xmlns:a16="http://schemas.microsoft.com/office/drawing/2014/main" id="{D4D2D638-5CC3-4B9D-98B0-FE941F1E47DE}"/>
              </a:ext>
            </a:extLst>
          </xdr:cNvPr>
          <xdr:cNvGraphicFramePr>
            <a:graphicFrameLocks/>
          </xdr:cNvGraphicFramePr>
        </xdr:nvGraphicFramePr>
        <xdr:xfrm>
          <a:off x="2154296" y="3443111"/>
          <a:ext cx="1440000" cy="1440000"/>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55" name="Chart 54">
            <a:extLst>
              <a:ext uri="{FF2B5EF4-FFF2-40B4-BE49-F238E27FC236}">
                <a16:creationId xmlns:a16="http://schemas.microsoft.com/office/drawing/2014/main" id="{5DD47A8E-0492-497B-B49E-FEE04BDBFB2C}"/>
              </a:ext>
            </a:extLst>
          </xdr:cNvPr>
          <xdr:cNvGraphicFramePr>
            <a:graphicFrameLocks/>
          </xdr:cNvGraphicFramePr>
        </xdr:nvGraphicFramePr>
        <xdr:xfrm>
          <a:off x="4713488" y="3443111"/>
          <a:ext cx="1440000" cy="1440000"/>
        </xdr:xfrm>
        <a:graphic>
          <a:graphicData uri="http://schemas.openxmlformats.org/drawingml/2006/chart">
            <c:chart xmlns:c="http://schemas.openxmlformats.org/drawingml/2006/chart" xmlns:r="http://schemas.openxmlformats.org/officeDocument/2006/relationships" r:id="rId11"/>
          </a:graphicData>
        </a:graphic>
      </xdr:graphicFrame>
      <xdr:pic>
        <xdr:nvPicPr>
          <xdr:cNvPr id="61" name="Graphic 60" descr="Male profile with solid fill">
            <a:extLst>
              <a:ext uri="{FF2B5EF4-FFF2-40B4-BE49-F238E27FC236}">
                <a16:creationId xmlns:a16="http://schemas.microsoft.com/office/drawing/2014/main" id="{823A963D-DBCA-78C9-29DC-FC4E0036439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073407" y="3631260"/>
            <a:ext cx="790223" cy="846666"/>
          </a:xfrm>
          <a:prstGeom prst="rect">
            <a:avLst/>
          </a:prstGeom>
        </xdr:spPr>
      </xdr:pic>
      <xdr:pic>
        <xdr:nvPicPr>
          <xdr:cNvPr id="63" name="Graphic 62" descr="Female Profile with solid fill">
            <a:extLst>
              <a:ext uri="{FF2B5EF4-FFF2-40B4-BE49-F238E27FC236}">
                <a16:creationId xmlns:a16="http://schemas.microsoft.com/office/drawing/2014/main" id="{CBE9DAE8-433B-AA37-2BE3-2A6775DA575A}"/>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471333" y="3650074"/>
            <a:ext cx="724370" cy="809037"/>
          </a:xfrm>
          <a:prstGeom prst="rect">
            <a:avLst/>
          </a:prstGeom>
        </xdr:spPr>
      </xdr:pic>
      <xdr:sp macro="" textlink="Gender!$B$11">
        <xdr:nvSpPr>
          <xdr:cNvPr id="64" name="TextBox 63">
            <a:extLst>
              <a:ext uri="{FF2B5EF4-FFF2-40B4-BE49-F238E27FC236}">
                <a16:creationId xmlns:a16="http://schemas.microsoft.com/office/drawing/2014/main" id="{FDE4B163-5B78-45C2-987E-0B07C10485D6}"/>
              </a:ext>
            </a:extLst>
          </xdr:cNvPr>
          <xdr:cNvSpPr txBox="1"/>
        </xdr:nvSpPr>
        <xdr:spPr>
          <a:xfrm>
            <a:off x="2605850" y="3951111"/>
            <a:ext cx="611484" cy="338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3BAEBB4-4AB1-41AC-8985-77000757DC07}" type="TxLink">
              <a:rPr lang="en-US" sz="1600" b="0" i="0" u="none" strike="noStrike">
                <a:solidFill>
                  <a:srgbClr val="000000"/>
                </a:solidFill>
                <a:latin typeface="Arial Black" panose="020B0A04020102020204" pitchFamily="34" charset="0"/>
                <a:ea typeface="Calibri"/>
                <a:cs typeface="Calibri"/>
              </a:rPr>
              <a:pPr/>
              <a:t>588</a:t>
            </a:fld>
            <a:endParaRPr lang="en-IN" sz="1600">
              <a:latin typeface="Arial Black" panose="020B0A04020102020204" pitchFamily="34" charset="0"/>
            </a:endParaRPr>
          </a:p>
        </xdr:txBody>
      </xdr:sp>
      <xdr:sp macro="" textlink="Gender!$B$12">
        <xdr:nvSpPr>
          <xdr:cNvPr id="65" name="TextBox 64">
            <a:extLst>
              <a:ext uri="{FF2B5EF4-FFF2-40B4-BE49-F238E27FC236}">
                <a16:creationId xmlns:a16="http://schemas.microsoft.com/office/drawing/2014/main" id="{2D64F82D-71FC-489F-834F-D9358F4F8576}"/>
              </a:ext>
            </a:extLst>
          </xdr:cNvPr>
          <xdr:cNvSpPr txBox="1"/>
        </xdr:nvSpPr>
        <xdr:spPr>
          <a:xfrm>
            <a:off x="5127037" y="3951111"/>
            <a:ext cx="611482" cy="395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4A0135-7C51-4AED-B4AD-92C31F9CE8C3}" type="TxLink">
              <a:rPr lang="en-US" sz="1600" b="0" i="0" u="none" strike="noStrike">
                <a:solidFill>
                  <a:srgbClr val="000000"/>
                </a:solidFill>
                <a:latin typeface="Arial Black" panose="020B0A04020102020204" pitchFamily="34" charset="0"/>
                <a:ea typeface="Calibri"/>
                <a:cs typeface="Calibri"/>
              </a:rPr>
              <a:pPr/>
              <a:t>882</a:t>
            </a:fld>
            <a:endParaRPr lang="en-IN" sz="1600">
              <a:latin typeface="Arial Black" panose="020B0A04020102020204" pitchFamily="34" charset="0"/>
            </a:endParaRPr>
          </a:p>
        </xdr:txBody>
      </xdr:sp>
    </xdr:grpSp>
    <xdr:clientData/>
  </xdr:twoCellAnchor>
  <xdr:twoCellAnchor>
    <xdr:from>
      <xdr:col>3</xdr:col>
      <xdr:colOff>385704</xdr:colOff>
      <xdr:row>11</xdr:row>
      <xdr:rowOff>75261</xdr:rowOff>
    </xdr:from>
    <xdr:to>
      <xdr:col>8</xdr:col>
      <xdr:colOff>649111</xdr:colOff>
      <xdr:row>13</xdr:row>
      <xdr:rowOff>28222</xdr:rowOff>
    </xdr:to>
    <xdr:sp macro="" textlink="">
      <xdr:nvSpPr>
        <xdr:cNvPr id="67" name="TextBox 66">
          <a:extLst>
            <a:ext uri="{FF2B5EF4-FFF2-40B4-BE49-F238E27FC236}">
              <a16:creationId xmlns:a16="http://schemas.microsoft.com/office/drawing/2014/main" id="{A1960828-5967-8DF8-61A0-9D9AA978CD5A}"/>
            </a:ext>
          </a:extLst>
        </xdr:cNvPr>
        <xdr:cNvSpPr txBox="1"/>
      </xdr:nvSpPr>
      <xdr:spPr>
        <a:xfrm>
          <a:off x="2427111" y="2248372"/>
          <a:ext cx="3603037" cy="34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rgbClr val="FF0000"/>
              </a:solidFill>
              <a:latin typeface="Arial Black" panose="020B0A04020102020204" pitchFamily="34" charset="0"/>
            </a:rPr>
            <a:t>Total Employees</a:t>
          </a:r>
          <a:r>
            <a:rPr lang="en-IN" sz="1600" baseline="0">
              <a:solidFill>
                <a:srgbClr val="FF0000"/>
              </a:solidFill>
              <a:latin typeface="Arial Black" panose="020B0A04020102020204" pitchFamily="34" charset="0"/>
            </a:rPr>
            <a:t> by Gender</a:t>
          </a:r>
          <a:endParaRPr lang="en-IN" sz="1600">
            <a:solidFill>
              <a:srgbClr val="FF0000"/>
            </a:solidFill>
            <a:latin typeface="Arial Black" panose="020B0A04020102020204" pitchFamily="34" charset="0"/>
          </a:endParaRPr>
        </a:p>
      </xdr:txBody>
    </xdr:sp>
    <xdr:clientData/>
  </xdr:twoCellAnchor>
  <xdr:twoCellAnchor editAs="oneCell">
    <xdr:from>
      <xdr:col>5</xdr:col>
      <xdr:colOff>28223</xdr:colOff>
      <xdr:row>14</xdr:row>
      <xdr:rowOff>103482</xdr:rowOff>
    </xdr:from>
    <xdr:to>
      <xdr:col>7</xdr:col>
      <xdr:colOff>521171</xdr:colOff>
      <xdr:row>17</xdr:row>
      <xdr:rowOff>159927</xdr:rowOff>
    </xdr:to>
    <mc:AlternateContent xmlns:mc="http://schemas.openxmlformats.org/markup-compatibility/2006" xmlns:a14="http://schemas.microsoft.com/office/drawing/2010/main">
      <mc:Choice Requires="a14">
        <xdr:graphicFrame macro="">
          <xdr:nvGraphicFramePr>
            <xdr:cNvPr id="68" name="Gender 3">
              <a:extLst>
                <a:ext uri="{FF2B5EF4-FFF2-40B4-BE49-F238E27FC236}">
                  <a16:creationId xmlns:a16="http://schemas.microsoft.com/office/drawing/2014/main" id="{77877AEB-2B59-41FE-AE44-657BE40EBB8A}"/>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3405482" y="2869260"/>
              <a:ext cx="1828800" cy="6491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479778</xdr:colOff>
      <xdr:row>13</xdr:row>
      <xdr:rowOff>47037</xdr:rowOff>
    </xdr:from>
    <xdr:to>
      <xdr:col>16</xdr:col>
      <xdr:colOff>517408</xdr:colOff>
      <xdr:row>25</xdr:row>
      <xdr:rowOff>84667</xdr:rowOff>
    </xdr:to>
    <xdr:graphicFrame macro="">
      <xdr:nvGraphicFramePr>
        <xdr:cNvPr id="69" name="Chart 68">
          <a:extLst>
            <a:ext uri="{FF2B5EF4-FFF2-40B4-BE49-F238E27FC236}">
              <a16:creationId xmlns:a16="http://schemas.microsoft.com/office/drawing/2014/main" id="{34511BA9-6FE0-409D-85F2-AF1385478C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9407</xdr:colOff>
      <xdr:row>11</xdr:row>
      <xdr:rowOff>84668</xdr:rowOff>
    </xdr:from>
    <xdr:to>
      <xdr:col>16</xdr:col>
      <xdr:colOff>244593</xdr:colOff>
      <xdr:row>13</xdr:row>
      <xdr:rowOff>37629</xdr:rowOff>
    </xdr:to>
    <xdr:sp macro="" textlink="">
      <xdr:nvSpPr>
        <xdr:cNvPr id="71" name="TextBox 70">
          <a:extLst>
            <a:ext uri="{FF2B5EF4-FFF2-40B4-BE49-F238E27FC236}">
              <a16:creationId xmlns:a16="http://schemas.microsoft.com/office/drawing/2014/main" id="{4FA39B9D-57FF-405B-A548-6A798D73B112}"/>
            </a:ext>
          </a:extLst>
        </xdr:cNvPr>
        <xdr:cNvSpPr txBox="1"/>
      </xdr:nvSpPr>
      <xdr:spPr>
        <a:xfrm>
          <a:off x="6726296" y="2257779"/>
          <a:ext cx="4242741" cy="34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rgbClr val="FF0000"/>
              </a:solidFill>
              <a:latin typeface="Arial Black" panose="020B0A04020102020204" pitchFamily="34" charset="0"/>
            </a:rPr>
            <a:t>Education</a:t>
          </a:r>
          <a:r>
            <a:rPr lang="en-IN" sz="1600" baseline="0">
              <a:solidFill>
                <a:srgbClr val="FF0000"/>
              </a:solidFill>
              <a:latin typeface="Arial Black" panose="020B0A04020102020204" pitchFamily="34" charset="0"/>
            </a:rPr>
            <a:t> wise Attrition</a:t>
          </a:r>
          <a:endParaRPr lang="en-IN" sz="1600">
            <a:solidFill>
              <a:srgbClr val="FF0000"/>
            </a:solidFill>
            <a:latin typeface="Arial Black" panose="020B0A04020102020204" pitchFamily="34" charset="0"/>
          </a:endParaRPr>
        </a:p>
      </xdr:txBody>
    </xdr:sp>
    <xdr:clientData/>
  </xdr:twoCellAnchor>
  <xdr:twoCellAnchor>
    <xdr:from>
      <xdr:col>17</xdr:col>
      <xdr:colOff>141112</xdr:colOff>
      <xdr:row>13</xdr:row>
      <xdr:rowOff>159926</xdr:rowOff>
    </xdr:from>
    <xdr:to>
      <xdr:col>23</xdr:col>
      <xdr:colOff>573852</xdr:colOff>
      <xdr:row>25</xdr:row>
      <xdr:rowOff>28221</xdr:rowOff>
    </xdr:to>
    <mc:AlternateContent xmlns:mc="http://schemas.openxmlformats.org/markup-compatibility/2006">
      <mc:Choice xmlns:cx1="http://schemas.microsoft.com/office/drawing/2015/9/8/chartex" Requires="cx1">
        <xdr:graphicFrame macro="">
          <xdr:nvGraphicFramePr>
            <xdr:cNvPr id="72" name="Chart 71">
              <a:extLst>
                <a:ext uri="{FF2B5EF4-FFF2-40B4-BE49-F238E27FC236}">
                  <a16:creationId xmlns:a16="http://schemas.microsoft.com/office/drawing/2014/main" id="{B30E0CE1-D809-449B-A01A-E57CCAF439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1578732" y="2735486"/>
              <a:ext cx="4456100" cy="22457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302919</xdr:colOff>
      <xdr:row>11</xdr:row>
      <xdr:rowOff>58328</xdr:rowOff>
    </xdr:from>
    <xdr:to>
      <xdr:col>23</xdr:col>
      <xdr:colOff>538104</xdr:colOff>
      <xdr:row>13</xdr:row>
      <xdr:rowOff>11289</xdr:rowOff>
    </xdr:to>
    <xdr:sp macro="" textlink="">
      <xdr:nvSpPr>
        <xdr:cNvPr id="73" name="TextBox 72">
          <a:extLst>
            <a:ext uri="{FF2B5EF4-FFF2-40B4-BE49-F238E27FC236}">
              <a16:creationId xmlns:a16="http://schemas.microsoft.com/office/drawing/2014/main" id="{3F8B2DB8-863D-4153-878F-74379A130AF3}"/>
            </a:ext>
          </a:extLst>
        </xdr:cNvPr>
        <xdr:cNvSpPr txBox="1"/>
      </xdr:nvSpPr>
      <xdr:spPr>
        <a:xfrm>
          <a:off x="11695289" y="2231439"/>
          <a:ext cx="4242741" cy="34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rgbClr val="FF0000"/>
              </a:solidFill>
              <a:latin typeface="Arial Black" panose="020B0A04020102020204" pitchFamily="34" charset="0"/>
            </a:rPr>
            <a:t>Attrition</a:t>
          </a:r>
          <a:r>
            <a:rPr lang="en-IN" sz="1600" baseline="0">
              <a:solidFill>
                <a:srgbClr val="FF0000"/>
              </a:solidFill>
              <a:latin typeface="Arial Black" panose="020B0A04020102020204" pitchFamily="34" charset="0"/>
            </a:rPr>
            <a:t> by Job</a:t>
          </a:r>
          <a:endParaRPr lang="en-IN" sz="1600">
            <a:solidFill>
              <a:srgbClr val="FF0000"/>
            </a:solidFill>
            <a:latin typeface="Arial Black" panose="020B0A04020102020204" pitchFamily="34" charset="0"/>
          </a:endParaRPr>
        </a:p>
      </xdr:txBody>
    </xdr:sp>
    <xdr:clientData/>
  </xdr:twoCellAnchor>
  <xdr:twoCellAnchor>
    <xdr:from>
      <xdr:col>3</xdr:col>
      <xdr:colOff>103483</xdr:colOff>
      <xdr:row>27</xdr:row>
      <xdr:rowOff>103481</xdr:rowOff>
    </xdr:from>
    <xdr:to>
      <xdr:col>9</xdr:col>
      <xdr:colOff>169333</xdr:colOff>
      <xdr:row>39</xdr:row>
      <xdr:rowOff>56444</xdr:rowOff>
    </xdr:to>
    <xdr:graphicFrame macro="">
      <xdr:nvGraphicFramePr>
        <xdr:cNvPr id="74" name="Chart 73">
          <a:extLst>
            <a:ext uri="{FF2B5EF4-FFF2-40B4-BE49-F238E27FC236}">
              <a16:creationId xmlns:a16="http://schemas.microsoft.com/office/drawing/2014/main" id="{CE45A96D-319D-459A-8386-22958589AF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3</xdr:col>
      <xdr:colOff>272815</xdr:colOff>
      <xdr:row>25</xdr:row>
      <xdr:rowOff>122296</xdr:rowOff>
    </xdr:from>
    <xdr:to>
      <xdr:col>8</xdr:col>
      <xdr:colOff>536222</xdr:colOff>
      <xdr:row>27</xdr:row>
      <xdr:rowOff>75257</xdr:rowOff>
    </xdr:to>
    <xdr:sp macro="" textlink="">
      <xdr:nvSpPr>
        <xdr:cNvPr id="75" name="TextBox 74">
          <a:extLst>
            <a:ext uri="{FF2B5EF4-FFF2-40B4-BE49-F238E27FC236}">
              <a16:creationId xmlns:a16="http://schemas.microsoft.com/office/drawing/2014/main" id="{A7566727-AF42-43BB-8006-ED2C3D4159BE}"/>
            </a:ext>
          </a:extLst>
        </xdr:cNvPr>
        <xdr:cNvSpPr txBox="1"/>
      </xdr:nvSpPr>
      <xdr:spPr>
        <a:xfrm>
          <a:off x="2314222" y="5061185"/>
          <a:ext cx="3603037" cy="34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rgbClr val="FF0000"/>
              </a:solidFill>
              <a:latin typeface="Arial Black" panose="020B0A04020102020204" pitchFamily="34" charset="0"/>
            </a:rPr>
            <a:t>Department</a:t>
          </a:r>
          <a:r>
            <a:rPr lang="en-IN" sz="1600" baseline="0">
              <a:solidFill>
                <a:srgbClr val="FF0000"/>
              </a:solidFill>
              <a:latin typeface="Arial Black" panose="020B0A04020102020204" pitchFamily="34" charset="0"/>
            </a:rPr>
            <a:t> wise Attrition</a:t>
          </a:r>
          <a:endParaRPr lang="en-IN" sz="1600">
            <a:solidFill>
              <a:srgbClr val="FF0000"/>
            </a:solidFill>
            <a:latin typeface="Arial Black" panose="020B0A04020102020204" pitchFamily="34" charset="0"/>
          </a:endParaRPr>
        </a:p>
      </xdr:txBody>
    </xdr:sp>
    <xdr:clientData/>
  </xdr:twoCellAnchor>
  <xdr:twoCellAnchor>
    <xdr:from>
      <xdr:col>9</xdr:col>
      <xdr:colOff>244592</xdr:colOff>
      <xdr:row>27</xdr:row>
      <xdr:rowOff>94075</xdr:rowOff>
    </xdr:from>
    <xdr:to>
      <xdr:col>14</xdr:col>
      <xdr:colOff>658517</xdr:colOff>
      <xdr:row>39</xdr:row>
      <xdr:rowOff>56445</xdr:rowOff>
    </xdr:to>
    <xdr:graphicFrame macro="">
      <xdr:nvGraphicFramePr>
        <xdr:cNvPr id="50" name="Chart 49">
          <a:extLst>
            <a:ext uri="{FF2B5EF4-FFF2-40B4-BE49-F238E27FC236}">
              <a16:creationId xmlns:a16="http://schemas.microsoft.com/office/drawing/2014/main" id="{2CACE30A-32F4-423D-A0BA-B5B5509E35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9</xdr:col>
      <xdr:colOff>585140</xdr:colOff>
      <xdr:row>25</xdr:row>
      <xdr:rowOff>124178</xdr:rowOff>
    </xdr:from>
    <xdr:to>
      <xdr:col>15</xdr:col>
      <xdr:colOff>180621</xdr:colOff>
      <xdr:row>27</xdr:row>
      <xdr:rowOff>77139</xdr:rowOff>
    </xdr:to>
    <xdr:sp macro="" textlink="">
      <xdr:nvSpPr>
        <xdr:cNvPr id="53" name="TextBox 52">
          <a:extLst>
            <a:ext uri="{FF2B5EF4-FFF2-40B4-BE49-F238E27FC236}">
              <a16:creationId xmlns:a16="http://schemas.microsoft.com/office/drawing/2014/main" id="{53CB07A6-E9B7-4111-9BCD-A3966875F57D}"/>
            </a:ext>
          </a:extLst>
        </xdr:cNvPr>
        <xdr:cNvSpPr txBox="1"/>
      </xdr:nvSpPr>
      <xdr:spPr>
        <a:xfrm>
          <a:off x="6634103" y="5063067"/>
          <a:ext cx="3603037" cy="34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rgbClr val="FF0000"/>
              </a:solidFill>
              <a:latin typeface="Arial Black" panose="020B0A04020102020204" pitchFamily="34" charset="0"/>
            </a:rPr>
            <a:t>Attrition</a:t>
          </a:r>
          <a:r>
            <a:rPr lang="en-IN" sz="1600" baseline="0">
              <a:solidFill>
                <a:srgbClr val="FF0000"/>
              </a:solidFill>
              <a:latin typeface="Arial Black" panose="020B0A04020102020204" pitchFamily="34" charset="0"/>
            </a:rPr>
            <a:t> by Age Group</a:t>
          </a:r>
          <a:endParaRPr lang="en-IN" sz="1600">
            <a:solidFill>
              <a:srgbClr val="FF0000"/>
            </a:solidFill>
            <a:latin typeface="Arial Black" panose="020B0A04020102020204" pitchFamily="34" charset="0"/>
          </a:endParaRPr>
        </a:p>
      </xdr:txBody>
    </xdr:sp>
    <xdr:clientData/>
  </xdr:twoCellAnchor>
  <xdr:twoCellAnchor>
    <xdr:from>
      <xdr:col>15</xdr:col>
      <xdr:colOff>103480</xdr:colOff>
      <xdr:row>28</xdr:row>
      <xdr:rowOff>37629</xdr:rowOff>
    </xdr:from>
    <xdr:to>
      <xdr:col>19</xdr:col>
      <xdr:colOff>404518</xdr:colOff>
      <xdr:row>39</xdr:row>
      <xdr:rowOff>18814</xdr:rowOff>
    </xdr:to>
    <mc:AlternateContent xmlns:mc="http://schemas.openxmlformats.org/markup-compatibility/2006">
      <mc:Choice xmlns:cx2="http://schemas.microsoft.com/office/drawing/2015/10/21/chartex" Requires="cx2">
        <xdr:graphicFrame macro="">
          <xdr:nvGraphicFramePr>
            <xdr:cNvPr id="56" name="Chart 55">
              <a:extLst>
                <a:ext uri="{FF2B5EF4-FFF2-40B4-BE49-F238E27FC236}">
                  <a16:creationId xmlns:a16="http://schemas.microsoft.com/office/drawing/2014/main" id="{01228390-7894-4CD2-BA88-1DD1B25064D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0"/>
            </a:graphicData>
          </a:graphic>
        </xdr:graphicFrame>
      </mc:Choice>
      <mc:Fallback>
        <xdr:sp macro="" textlink="">
          <xdr:nvSpPr>
            <xdr:cNvPr id="0" name=""/>
            <xdr:cNvSpPr>
              <a:spLocks noTextEdit="1"/>
            </xdr:cNvSpPr>
          </xdr:nvSpPr>
          <xdr:spPr>
            <a:xfrm>
              <a:off x="10199980" y="5584989"/>
              <a:ext cx="2983278" cy="216050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50799</xdr:colOff>
      <xdr:row>25</xdr:row>
      <xdr:rowOff>126060</xdr:rowOff>
    </xdr:from>
    <xdr:to>
      <xdr:col>20</xdr:col>
      <xdr:colOff>314207</xdr:colOff>
      <xdr:row>27</xdr:row>
      <xdr:rowOff>79021</xdr:rowOff>
    </xdr:to>
    <xdr:sp macro="" textlink="">
      <xdr:nvSpPr>
        <xdr:cNvPr id="57" name="TextBox 56">
          <a:extLst>
            <a:ext uri="{FF2B5EF4-FFF2-40B4-BE49-F238E27FC236}">
              <a16:creationId xmlns:a16="http://schemas.microsoft.com/office/drawing/2014/main" id="{4F295675-4A9F-4244-9987-DB92367A4A9A}"/>
            </a:ext>
          </a:extLst>
        </xdr:cNvPr>
        <xdr:cNvSpPr txBox="1"/>
      </xdr:nvSpPr>
      <xdr:spPr>
        <a:xfrm>
          <a:off x="10107318" y="5064949"/>
          <a:ext cx="3603037" cy="34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rgbClr val="FF0000"/>
              </a:solidFill>
              <a:latin typeface="Arial Black" panose="020B0A04020102020204" pitchFamily="34" charset="0"/>
            </a:rPr>
            <a:t>Attrition by Marital</a:t>
          </a:r>
          <a:r>
            <a:rPr lang="en-IN" sz="1600" baseline="0">
              <a:solidFill>
                <a:srgbClr val="FF0000"/>
              </a:solidFill>
              <a:latin typeface="Arial Black" panose="020B0A04020102020204" pitchFamily="34" charset="0"/>
            </a:rPr>
            <a:t> Status</a:t>
          </a:r>
          <a:endParaRPr lang="en-IN" sz="1600">
            <a:solidFill>
              <a:srgbClr val="FF0000"/>
            </a:solidFill>
            <a:latin typeface="Arial Black" panose="020B0A04020102020204" pitchFamily="34" charset="0"/>
          </a:endParaRPr>
        </a:p>
      </xdr:txBody>
    </xdr:sp>
    <xdr:clientData/>
  </xdr:twoCellAnchor>
  <xdr:twoCellAnchor editAs="oneCell">
    <xdr:from>
      <xdr:col>22</xdr:col>
      <xdr:colOff>150519</xdr:colOff>
      <xdr:row>28</xdr:row>
      <xdr:rowOff>178741</xdr:rowOff>
    </xdr:from>
    <xdr:to>
      <xdr:col>23</xdr:col>
      <xdr:colOff>658518</xdr:colOff>
      <xdr:row>35</xdr:row>
      <xdr:rowOff>56445</xdr:rowOff>
    </xdr:to>
    <mc:AlternateContent xmlns:mc="http://schemas.openxmlformats.org/markup-compatibility/2006" xmlns:a14="http://schemas.microsoft.com/office/drawing/2010/main">
      <mc:Choice Requires="a14">
        <xdr:graphicFrame macro="">
          <xdr:nvGraphicFramePr>
            <xdr:cNvPr id="58" name="Department 1">
              <a:extLst>
                <a:ext uri="{FF2B5EF4-FFF2-40B4-BE49-F238E27FC236}">
                  <a16:creationId xmlns:a16="http://schemas.microsoft.com/office/drawing/2014/main" id="{95AFA865-3C92-4A53-BF91-0E0BE6FA45DA}"/>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5003997" y="5744654"/>
              <a:ext cx="1181651" cy="12691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548723</xdr:colOff>
      <xdr:row>28</xdr:row>
      <xdr:rowOff>132522</xdr:rowOff>
    </xdr:from>
    <xdr:to>
      <xdr:col>22</xdr:col>
      <xdr:colOff>191242</xdr:colOff>
      <xdr:row>38</xdr:row>
      <xdr:rowOff>149088</xdr:rowOff>
    </xdr:to>
    <mc:AlternateContent xmlns:mc="http://schemas.openxmlformats.org/markup-compatibility/2006" xmlns:a14="http://schemas.microsoft.com/office/drawing/2010/main">
      <mc:Choice Requires="a14">
        <xdr:graphicFrame macro="">
          <xdr:nvGraphicFramePr>
            <xdr:cNvPr id="59" name="Education Field 3">
              <a:extLst>
                <a:ext uri="{FF2B5EF4-FFF2-40B4-BE49-F238E27FC236}">
                  <a16:creationId xmlns:a16="http://schemas.microsoft.com/office/drawing/2014/main" id="{E9BD7045-38E9-4622-9C33-C7C529B00629}"/>
                </a:ext>
              </a:extLst>
            </xdr:cNvPr>
            <xdr:cNvGraphicFramePr/>
          </xdr:nvGraphicFramePr>
          <xdr:xfrm>
            <a:off x="0" y="0"/>
            <a:ext cx="0" cy="0"/>
          </xdr:xfrm>
          <a:graphic>
            <a:graphicData uri="http://schemas.microsoft.com/office/drawing/2010/slicer">
              <sle:slicer xmlns:sle="http://schemas.microsoft.com/office/drawing/2010/slicer" name="Education Field 3"/>
            </a:graphicData>
          </a:graphic>
        </xdr:graphicFrame>
      </mc:Choice>
      <mc:Fallback xmlns="">
        <xdr:sp macro="" textlink="">
          <xdr:nvSpPr>
            <xdr:cNvPr id="0" name=""/>
            <xdr:cNvSpPr>
              <a:spLocks noTextEdit="1"/>
            </xdr:cNvSpPr>
          </xdr:nvSpPr>
          <xdr:spPr>
            <a:xfrm>
              <a:off x="13337071" y="5698435"/>
              <a:ext cx="1655193" cy="20043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522562</xdr:colOff>
      <xdr:row>27</xdr:row>
      <xdr:rowOff>81575</xdr:rowOff>
    </xdr:from>
    <xdr:to>
      <xdr:col>21</xdr:col>
      <xdr:colOff>437895</xdr:colOff>
      <xdr:row>28</xdr:row>
      <xdr:rowOff>128611</xdr:rowOff>
    </xdr:to>
    <xdr:sp macro="" textlink="">
      <xdr:nvSpPr>
        <xdr:cNvPr id="60" name="TextBox 59">
          <a:extLst>
            <a:ext uri="{FF2B5EF4-FFF2-40B4-BE49-F238E27FC236}">
              <a16:creationId xmlns:a16="http://schemas.microsoft.com/office/drawing/2014/main" id="{1CEF7251-AEEC-6171-4E15-513B2D685A1E}"/>
            </a:ext>
          </a:extLst>
        </xdr:cNvPr>
        <xdr:cNvSpPr txBox="1"/>
      </xdr:nvSpPr>
      <xdr:spPr>
        <a:xfrm>
          <a:off x="13257357" y="5436452"/>
          <a:ext cx="1251442" cy="2453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rgbClr val="002060"/>
              </a:solidFill>
            </a:rPr>
            <a:t>Education Field</a:t>
          </a:r>
        </a:p>
      </xdr:txBody>
    </xdr:sp>
    <xdr:clientData/>
  </xdr:twoCellAnchor>
  <xdr:twoCellAnchor>
    <xdr:from>
      <xdr:col>21</xdr:col>
      <xdr:colOff>519288</xdr:colOff>
      <xdr:row>27</xdr:row>
      <xdr:rowOff>86549</xdr:rowOff>
    </xdr:from>
    <xdr:to>
      <xdr:col>23</xdr:col>
      <xdr:colOff>434621</xdr:colOff>
      <xdr:row>28</xdr:row>
      <xdr:rowOff>133585</xdr:rowOff>
    </xdr:to>
    <xdr:sp macro="" textlink="">
      <xdr:nvSpPr>
        <xdr:cNvPr id="62" name="TextBox 61">
          <a:extLst>
            <a:ext uri="{FF2B5EF4-FFF2-40B4-BE49-F238E27FC236}">
              <a16:creationId xmlns:a16="http://schemas.microsoft.com/office/drawing/2014/main" id="{B1264AAC-336E-4741-B16D-EEDE42E8C788}"/>
            </a:ext>
          </a:extLst>
        </xdr:cNvPr>
        <xdr:cNvSpPr txBox="1"/>
      </xdr:nvSpPr>
      <xdr:spPr>
        <a:xfrm>
          <a:off x="14583362" y="5420549"/>
          <a:ext cx="1251185" cy="244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rgbClr val="002060"/>
              </a:solidFill>
            </a:rPr>
            <a:t>Department</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unl" refreshedDate="46188.613570601854" createdVersion="8" refreshedVersion="8" minRefreshableVersion="3" recordCount="1470" xr:uid="{4229B807-F79C-4F51-9E7D-2F03DCFACA89}">
  <cacheSource type="worksheet">
    <worksheetSource name="Table_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7974457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n v="3"/>
    <n v="1"/>
    <n v="80"/>
    <n v="0"/>
    <n v="8"/>
    <n v="1"/>
    <n v="6"/>
    <n v="4"/>
    <n v="0"/>
    <n v="5"/>
  </r>
  <r>
    <s v="No"/>
    <s v="Travel_Frequently"/>
    <x v="1"/>
    <s v="Current Employees"/>
    <x v="1"/>
    <x v="0"/>
    <s v="STAFF-2"/>
    <n v="2"/>
    <x v="1"/>
    <x v="1"/>
    <x v="1"/>
    <s v="No"/>
    <s v="Y"/>
    <n v="3"/>
    <n v="-2"/>
    <n v="0"/>
    <n v="49"/>
    <n v="0"/>
    <m/>
    <n v="0"/>
    <n v="1"/>
    <n v="279"/>
    <n v="8"/>
    <x v="1"/>
    <n v="1"/>
    <n v="3"/>
    <n v="61"/>
    <n v="2"/>
    <n v="2"/>
    <n v="2"/>
    <n v="5130"/>
    <n v="24907"/>
    <n v="1"/>
    <n v="23"/>
    <n v="4"/>
    <n v="4"/>
    <n v="80"/>
    <n v="1"/>
    <n v="10"/>
    <n v="3"/>
    <n v="10"/>
    <n v="7"/>
    <n v="1"/>
    <n v="7"/>
  </r>
  <r>
    <s v="Yes"/>
    <s v="Travel_Rarely"/>
    <x v="0"/>
    <s v="Ex-Employees"/>
    <x v="1"/>
    <x v="1"/>
    <s v="STAFF-4"/>
    <n v="4"/>
    <x v="1"/>
    <x v="2"/>
    <x v="0"/>
    <s v="Yes"/>
    <s v="Y"/>
    <n v="3"/>
    <n v="-2"/>
    <n v="0"/>
    <n v="37"/>
    <n v="1"/>
    <n v="1"/>
    <n v="1"/>
    <n v="0"/>
    <n v="1373"/>
    <n v="2"/>
    <x v="0"/>
    <n v="1"/>
    <n v="4"/>
    <n v="92"/>
    <n v="2"/>
    <n v="1"/>
    <n v="3"/>
    <n v="2090"/>
    <n v="2396"/>
    <n v="6"/>
    <n v="15"/>
    <n v="3"/>
    <n v="2"/>
    <n v="80"/>
    <n v="0"/>
    <n v="7"/>
    <n v="3"/>
    <n v="0"/>
    <n v="0"/>
    <n v="0"/>
    <n v="0"/>
  </r>
  <r>
    <s v="No"/>
    <s v="Travel_Frequently"/>
    <x v="2"/>
    <s v="Current Employees"/>
    <x v="1"/>
    <x v="0"/>
    <s v="STAFF-5"/>
    <n v="5"/>
    <x v="0"/>
    <x v="1"/>
    <x v="1"/>
    <s v="Yes"/>
    <s v="Y"/>
    <n v="3"/>
    <n v="-2"/>
    <n v="0"/>
    <n v="33"/>
    <n v="0"/>
    <m/>
    <n v="0"/>
    <n v="1"/>
    <n v="1392"/>
    <n v="3"/>
    <x v="2"/>
    <n v="1"/>
    <n v="4"/>
    <n v="56"/>
    <n v="3"/>
    <n v="1"/>
    <n v="3"/>
    <n v="2909"/>
    <n v="23159"/>
    <n v="1"/>
    <n v="11"/>
    <n v="3"/>
    <n v="3"/>
    <n v="80"/>
    <n v="0"/>
    <n v="8"/>
    <n v="3"/>
    <n v="8"/>
    <n v="7"/>
    <n v="3"/>
    <n v="0"/>
  </r>
  <r>
    <s v="No"/>
    <s v="Travel_Rarely"/>
    <x v="2"/>
    <s v="Current Employees"/>
    <x v="1"/>
    <x v="2"/>
    <s v="STAFF-7"/>
    <n v="7"/>
    <x v="1"/>
    <x v="2"/>
    <x v="1"/>
    <s v="No"/>
    <s v="Y"/>
    <n v="3"/>
    <n v="-2"/>
    <n v="0"/>
    <n v="27"/>
    <n v="0"/>
    <m/>
    <n v="0"/>
    <n v="1"/>
    <n v="591"/>
    <n v="2"/>
    <x v="1"/>
    <n v="1"/>
    <n v="1"/>
    <n v="40"/>
    <n v="3"/>
    <n v="1"/>
    <n v="2"/>
    <n v="3468"/>
    <n v="16632"/>
    <n v="9"/>
    <n v="12"/>
    <n v="3"/>
    <n v="4"/>
    <n v="80"/>
    <n v="1"/>
    <n v="6"/>
    <n v="3"/>
    <n v="2"/>
    <n v="2"/>
    <n v="2"/>
    <n v="2"/>
  </r>
  <r>
    <s v="No"/>
    <s v="Travel_Frequently"/>
    <x v="2"/>
    <s v="Current Employees"/>
    <x v="1"/>
    <x v="0"/>
    <s v="STAFF-8"/>
    <n v="8"/>
    <x v="1"/>
    <x v="2"/>
    <x v="0"/>
    <s v="No"/>
    <s v="Y"/>
    <n v="2"/>
    <n v="-2"/>
    <n v="0"/>
    <n v="32"/>
    <n v="0"/>
    <m/>
    <n v="0"/>
    <n v="1"/>
    <n v="1005"/>
    <n v="2"/>
    <x v="0"/>
    <n v="1"/>
    <n v="4"/>
    <n v="79"/>
    <n v="3"/>
    <n v="1"/>
    <n v="2"/>
    <n v="3068"/>
    <n v="11864"/>
    <n v="0"/>
    <n v="13"/>
    <n v="3"/>
    <n v="3"/>
    <n v="80"/>
    <n v="0"/>
    <n v="8"/>
    <n v="2"/>
    <n v="7"/>
    <n v="7"/>
    <n v="3"/>
    <n v="6"/>
  </r>
  <r>
    <s v="No"/>
    <s v="Travel_Rarely"/>
    <x v="3"/>
    <s v="Current Employees"/>
    <x v="1"/>
    <x v="2"/>
    <s v="STAFF-10"/>
    <n v="10"/>
    <x v="0"/>
    <x v="2"/>
    <x v="1"/>
    <s v="Yes"/>
    <s v="Y"/>
    <n v="3"/>
    <n v="-2"/>
    <n v="0"/>
    <n v="59"/>
    <n v="0"/>
    <m/>
    <n v="0"/>
    <n v="1"/>
    <n v="1324"/>
    <n v="3"/>
    <x v="3"/>
    <n v="1"/>
    <n v="3"/>
    <n v="81"/>
    <n v="4"/>
    <n v="1"/>
    <n v="4"/>
    <n v="2670"/>
    <n v="9964"/>
    <n v="4"/>
    <n v="20"/>
    <n v="4"/>
    <n v="1"/>
    <n v="80"/>
    <n v="3"/>
    <n v="12"/>
    <n v="2"/>
    <n v="1"/>
    <n v="0"/>
    <n v="0"/>
    <n v="0"/>
  </r>
  <r>
    <s v="No"/>
    <s v="Travel_Rarely"/>
    <x v="2"/>
    <s v="Current Employees"/>
    <x v="1"/>
    <x v="0"/>
    <s v="STAFF-11"/>
    <n v="11"/>
    <x v="1"/>
    <x v="2"/>
    <x v="2"/>
    <s v="No"/>
    <s v="Y"/>
    <n v="2"/>
    <n v="-2"/>
    <n v="0"/>
    <n v="30"/>
    <n v="0"/>
    <m/>
    <n v="0"/>
    <n v="1"/>
    <n v="1358"/>
    <n v="24"/>
    <x v="1"/>
    <n v="1"/>
    <n v="4"/>
    <n v="67"/>
    <n v="3"/>
    <n v="1"/>
    <n v="2"/>
    <n v="2693"/>
    <n v="13335"/>
    <n v="1"/>
    <n v="22"/>
    <n v="4"/>
    <n v="2"/>
    <n v="80"/>
    <n v="1"/>
    <n v="1"/>
    <n v="3"/>
    <n v="1"/>
    <n v="0"/>
    <n v="0"/>
    <n v="0"/>
  </r>
  <r>
    <s v="No"/>
    <s v="Travel_Frequently"/>
    <x v="0"/>
    <s v="Current Employees"/>
    <x v="1"/>
    <x v="0"/>
    <s v="STAFF-12"/>
    <n v="12"/>
    <x v="1"/>
    <x v="3"/>
    <x v="0"/>
    <s v="No"/>
    <s v="Y"/>
    <n v="2"/>
    <n v="-2"/>
    <n v="0"/>
    <n v="38"/>
    <n v="0"/>
    <m/>
    <n v="0"/>
    <n v="1"/>
    <n v="216"/>
    <n v="23"/>
    <x v="3"/>
    <n v="1"/>
    <n v="4"/>
    <n v="44"/>
    <n v="2"/>
    <n v="3"/>
    <n v="2"/>
    <n v="9526"/>
    <n v="8787"/>
    <n v="0"/>
    <n v="21"/>
    <n v="4"/>
    <n v="2"/>
    <n v="80"/>
    <n v="0"/>
    <n v="10"/>
    <n v="3"/>
    <n v="9"/>
    <n v="7"/>
    <n v="1"/>
    <n v="8"/>
  </r>
  <r>
    <s v="No"/>
    <s v="Travel_Rarely"/>
    <x v="0"/>
    <s v="Current Employees"/>
    <x v="1"/>
    <x v="2"/>
    <s v="STAFF-13"/>
    <n v="13"/>
    <x v="1"/>
    <x v="4"/>
    <x v="1"/>
    <s v="No"/>
    <s v="Y"/>
    <n v="3"/>
    <n v="-2"/>
    <n v="0"/>
    <n v="36"/>
    <n v="0"/>
    <m/>
    <n v="0"/>
    <n v="1"/>
    <n v="1299"/>
    <n v="27"/>
    <x v="3"/>
    <n v="1"/>
    <n v="3"/>
    <n v="94"/>
    <n v="3"/>
    <n v="2"/>
    <n v="3"/>
    <n v="5237"/>
    <n v="16577"/>
    <n v="6"/>
    <n v="13"/>
    <n v="3"/>
    <n v="2"/>
    <n v="80"/>
    <n v="2"/>
    <n v="17"/>
    <n v="2"/>
    <n v="7"/>
    <n v="7"/>
    <n v="7"/>
    <n v="7"/>
  </r>
  <r>
    <s v="No"/>
    <s v="Travel_Rarely"/>
    <x v="0"/>
    <s v="Current Employees"/>
    <x v="1"/>
    <x v="2"/>
    <s v="STAFF-14"/>
    <n v="14"/>
    <x v="1"/>
    <x v="2"/>
    <x v="1"/>
    <s v="No"/>
    <s v="Y"/>
    <n v="5"/>
    <n v="-2"/>
    <n v="0"/>
    <n v="35"/>
    <n v="0"/>
    <m/>
    <n v="0"/>
    <n v="1"/>
    <n v="809"/>
    <n v="16"/>
    <x v="3"/>
    <n v="1"/>
    <n v="1"/>
    <n v="84"/>
    <n v="4"/>
    <n v="1"/>
    <n v="2"/>
    <n v="2426"/>
    <n v="16479"/>
    <n v="0"/>
    <n v="13"/>
    <n v="3"/>
    <n v="3"/>
    <n v="80"/>
    <n v="1"/>
    <n v="6"/>
    <n v="3"/>
    <n v="5"/>
    <n v="4"/>
    <n v="0"/>
    <n v="3"/>
  </r>
  <r>
    <s v="No"/>
    <s v="Travel_Rarely"/>
    <x v="2"/>
    <s v="Current Employees"/>
    <x v="1"/>
    <x v="0"/>
    <s v="STAFF-15"/>
    <n v="15"/>
    <x v="0"/>
    <x v="2"/>
    <x v="0"/>
    <s v="Yes"/>
    <s v="Y"/>
    <n v="3"/>
    <n v="-2"/>
    <n v="0"/>
    <n v="29"/>
    <n v="0"/>
    <m/>
    <n v="0"/>
    <n v="1"/>
    <n v="153"/>
    <n v="15"/>
    <x v="0"/>
    <n v="1"/>
    <n v="4"/>
    <n v="49"/>
    <n v="2"/>
    <n v="2"/>
    <n v="2"/>
    <n v="4193"/>
    <n v="12682"/>
    <n v="0"/>
    <n v="12"/>
    <n v="3"/>
    <n v="4"/>
    <n v="80"/>
    <n v="0"/>
    <n v="10"/>
    <n v="3"/>
    <n v="9"/>
    <n v="5"/>
    <n v="0"/>
    <n v="8"/>
  </r>
  <r>
    <s v="No"/>
    <s v="Travel_Rarely"/>
    <x v="2"/>
    <s v="Current Employees"/>
    <x v="1"/>
    <x v="0"/>
    <s v="STAFF-16"/>
    <n v="16"/>
    <x v="1"/>
    <x v="1"/>
    <x v="2"/>
    <s v="No"/>
    <s v="Y"/>
    <n v="1"/>
    <n v="-2"/>
    <n v="0"/>
    <n v="31"/>
    <n v="0"/>
    <m/>
    <n v="0"/>
    <n v="1"/>
    <n v="670"/>
    <n v="26"/>
    <x v="1"/>
    <n v="1"/>
    <n v="1"/>
    <n v="31"/>
    <n v="3"/>
    <n v="1"/>
    <n v="2"/>
    <n v="2911"/>
    <n v="15170"/>
    <n v="1"/>
    <n v="17"/>
    <n v="3"/>
    <n v="4"/>
    <n v="80"/>
    <n v="1"/>
    <n v="5"/>
    <n v="2"/>
    <n v="5"/>
    <n v="2"/>
    <n v="4"/>
    <n v="3"/>
  </r>
  <r>
    <s v="No"/>
    <s v="Travel_Rarely"/>
    <x v="2"/>
    <s v="Current Employees"/>
    <x v="1"/>
    <x v="2"/>
    <s v="STAFF-18"/>
    <n v="18"/>
    <x v="1"/>
    <x v="2"/>
    <x v="2"/>
    <s v="No"/>
    <s v="Y"/>
    <n v="2"/>
    <n v="-2"/>
    <n v="0"/>
    <n v="34"/>
    <n v="0"/>
    <m/>
    <n v="0"/>
    <n v="1"/>
    <n v="1346"/>
    <n v="19"/>
    <x v="0"/>
    <n v="1"/>
    <n v="2"/>
    <n v="93"/>
    <n v="3"/>
    <n v="1"/>
    <n v="4"/>
    <n v="2661"/>
    <n v="8758"/>
    <n v="0"/>
    <n v="11"/>
    <n v="3"/>
    <n v="3"/>
    <n v="80"/>
    <n v="1"/>
    <n v="3"/>
    <n v="3"/>
    <n v="2"/>
    <n v="2"/>
    <n v="1"/>
    <n v="2"/>
  </r>
  <r>
    <s v="Yes"/>
    <s v="Travel_Rarely"/>
    <x v="2"/>
    <s v="Ex-Employees"/>
    <x v="1"/>
    <x v="0"/>
    <s v="STAFF-19"/>
    <n v="19"/>
    <x v="1"/>
    <x v="2"/>
    <x v="0"/>
    <s v="Yes"/>
    <s v="Y"/>
    <n v="4"/>
    <n v="-2"/>
    <n v="0"/>
    <n v="28"/>
    <n v="1"/>
    <n v="1"/>
    <n v="1"/>
    <n v="0"/>
    <n v="103"/>
    <n v="24"/>
    <x v="3"/>
    <n v="1"/>
    <n v="3"/>
    <n v="50"/>
    <n v="2"/>
    <n v="1"/>
    <n v="2"/>
    <n v="2028"/>
    <n v="12947"/>
    <n v="5"/>
    <n v="14"/>
    <n v="3"/>
    <n v="2"/>
    <n v="80"/>
    <n v="0"/>
    <n v="6"/>
    <n v="3"/>
    <n v="4"/>
    <n v="2"/>
    <n v="0"/>
    <n v="3"/>
  </r>
  <r>
    <s v="No"/>
    <s v="Travel_Rarely"/>
    <x v="2"/>
    <s v="Current Employees"/>
    <x v="1"/>
    <x v="0"/>
    <s v="STAFF-20"/>
    <n v="20"/>
    <x v="0"/>
    <x v="3"/>
    <x v="2"/>
    <s v="No"/>
    <s v="Y"/>
    <n v="1"/>
    <n v="-2"/>
    <n v="0"/>
    <n v="29"/>
    <n v="0"/>
    <m/>
    <n v="0"/>
    <n v="1"/>
    <n v="1389"/>
    <n v="21"/>
    <x v="2"/>
    <n v="1"/>
    <n v="2"/>
    <n v="51"/>
    <n v="4"/>
    <n v="3"/>
    <n v="2"/>
    <n v="9980"/>
    <n v="10195"/>
    <n v="1"/>
    <n v="11"/>
    <n v="3"/>
    <n v="3"/>
    <n v="80"/>
    <n v="1"/>
    <n v="10"/>
    <n v="3"/>
    <n v="10"/>
    <n v="9"/>
    <n v="8"/>
    <n v="8"/>
  </r>
  <r>
    <s v="No"/>
    <s v="Travel_Rarely"/>
    <x v="2"/>
    <s v="Current Employees"/>
    <x v="1"/>
    <x v="0"/>
    <s v="STAFF-21"/>
    <n v="21"/>
    <x v="1"/>
    <x v="1"/>
    <x v="2"/>
    <s v="Yes"/>
    <s v="Y"/>
    <n v="5"/>
    <n v="-2"/>
    <n v="0"/>
    <n v="32"/>
    <n v="0"/>
    <m/>
    <n v="0"/>
    <n v="1"/>
    <n v="334"/>
    <n v="5"/>
    <x v="0"/>
    <n v="1"/>
    <n v="1"/>
    <n v="80"/>
    <n v="4"/>
    <n v="1"/>
    <n v="2"/>
    <n v="3298"/>
    <n v="15053"/>
    <n v="0"/>
    <n v="12"/>
    <n v="3"/>
    <n v="4"/>
    <n v="80"/>
    <n v="2"/>
    <n v="7"/>
    <n v="2"/>
    <n v="6"/>
    <n v="2"/>
    <n v="0"/>
    <n v="5"/>
  </r>
  <r>
    <s v="No"/>
    <s v="Non-Travel"/>
    <x v="4"/>
    <s v="Current Employees"/>
    <x v="1"/>
    <x v="2"/>
    <s v="STAFF-22"/>
    <n v="22"/>
    <x v="1"/>
    <x v="2"/>
    <x v="2"/>
    <s v="Yes"/>
    <s v="Y"/>
    <n v="2"/>
    <n v="-2"/>
    <n v="0"/>
    <n v="22"/>
    <n v="0"/>
    <m/>
    <n v="0"/>
    <n v="1"/>
    <n v="1123"/>
    <n v="16"/>
    <x v="0"/>
    <n v="1"/>
    <n v="4"/>
    <n v="96"/>
    <n v="4"/>
    <n v="1"/>
    <n v="4"/>
    <n v="2935"/>
    <n v="7324"/>
    <n v="1"/>
    <n v="13"/>
    <n v="3"/>
    <n v="2"/>
    <n v="80"/>
    <n v="2"/>
    <n v="1"/>
    <n v="2"/>
    <n v="1"/>
    <n v="0"/>
    <n v="0"/>
    <n v="0"/>
  </r>
  <r>
    <s v="No"/>
    <s v="Travel_Rarely"/>
    <x v="1"/>
    <s v="Current Employees"/>
    <x v="0"/>
    <x v="0"/>
    <s v="STAFF-23"/>
    <n v="23"/>
    <x v="0"/>
    <x v="5"/>
    <x v="1"/>
    <s v="No"/>
    <s v="Y"/>
    <n v="3"/>
    <n v="-2"/>
    <n v="0"/>
    <n v="53"/>
    <n v="0"/>
    <m/>
    <n v="0"/>
    <n v="1"/>
    <n v="1219"/>
    <n v="2"/>
    <x v="2"/>
    <n v="1"/>
    <n v="1"/>
    <n v="78"/>
    <n v="2"/>
    <n v="4"/>
    <n v="2"/>
    <n v="15427"/>
    <n v="22021"/>
    <n v="2"/>
    <n v="16"/>
    <n v="3"/>
    <n v="3"/>
    <n v="80"/>
    <n v="0"/>
    <n v="31"/>
    <n v="3"/>
    <n v="25"/>
    <n v="8"/>
    <n v="3"/>
    <n v="7"/>
  </r>
  <r>
    <s v="No"/>
    <s v="Travel_Rarely"/>
    <x v="0"/>
    <s v="Current Employees"/>
    <x v="1"/>
    <x v="0"/>
    <s v="STAFF-24"/>
    <n v="24"/>
    <x v="1"/>
    <x v="1"/>
    <x v="0"/>
    <s v="Yes"/>
    <s v="Y"/>
    <n v="3"/>
    <n v="-2"/>
    <n v="0"/>
    <n v="38"/>
    <n v="0"/>
    <m/>
    <n v="0"/>
    <n v="1"/>
    <n v="371"/>
    <n v="2"/>
    <x v="3"/>
    <n v="1"/>
    <n v="4"/>
    <n v="45"/>
    <n v="3"/>
    <n v="1"/>
    <n v="2"/>
    <n v="3944"/>
    <n v="4306"/>
    <n v="5"/>
    <n v="11"/>
    <n v="3"/>
    <n v="3"/>
    <n v="80"/>
    <n v="0"/>
    <n v="6"/>
    <n v="3"/>
    <n v="3"/>
    <n v="2"/>
    <n v="1"/>
    <n v="2"/>
  </r>
  <r>
    <s v="No"/>
    <s v="Non-Travel"/>
    <x v="4"/>
    <s v="Current Employees"/>
    <x v="1"/>
    <x v="1"/>
    <s v="STAFF-26"/>
    <n v="26"/>
    <x v="0"/>
    <x v="3"/>
    <x v="2"/>
    <s v="No"/>
    <s v="Y"/>
    <n v="5"/>
    <n v="-2"/>
    <n v="0"/>
    <n v="24"/>
    <n v="0"/>
    <m/>
    <n v="0"/>
    <n v="1"/>
    <n v="673"/>
    <n v="11"/>
    <x v="0"/>
    <n v="1"/>
    <n v="1"/>
    <n v="96"/>
    <n v="4"/>
    <n v="2"/>
    <n v="3"/>
    <n v="4011"/>
    <n v="8232"/>
    <n v="0"/>
    <n v="18"/>
    <n v="3"/>
    <n v="4"/>
    <n v="80"/>
    <n v="1"/>
    <n v="5"/>
    <n v="2"/>
    <n v="4"/>
    <n v="2"/>
    <n v="1"/>
    <n v="3"/>
  </r>
  <r>
    <s v="Yes"/>
    <s v="Travel_Rarely"/>
    <x v="0"/>
    <s v="Ex-Employees"/>
    <x v="0"/>
    <x v="0"/>
    <s v="STAFF-27"/>
    <n v="27"/>
    <x v="1"/>
    <x v="6"/>
    <x v="0"/>
    <s v="No"/>
    <s v="Y"/>
    <n v="4"/>
    <n v="-2"/>
    <n v="0"/>
    <n v="36"/>
    <n v="1"/>
    <n v="1"/>
    <n v="1"/>
    <n v="0"/>
    <n v="1218"/>
    <n v="9"/>
    <x v="2"/>
    <n v="1"/>
    <n v="3"/>
    <n v="82"/>
    <n v="2"/>
    <n v="1"/>
    <n v="2"/>
    <n v="3407"/>
    <n v="6986"/>
    <n v="7"/>
    <n v="23"/>
    <n v="4"/>
    <n v="2"/>
    <n v="80"/>
    <n v="0"/>
    <n v="10"/>
    <n v="3"/>
    <n v="5"/>
    <n v="3"/>
    <n v="0"/>
    <n v="3"/>
  </r>
  <r>
    <s v="No"/>
    <s v="Travel_Rarely"/>
    <x v="2"/>
    <s v="Current Employees"/>
    <x v="1"/>
    <x v="0"/>
    <s v="STAFF-28"/>
    <n v="28"/>
    <x v="0"/>
    <x v="7"/>
    <x v="0"/>
    <s v="No"/>
    <s v="Y"/>
    <n v="4"/>
    <n v="-2"/>
    <n v="0"/>
    <n v="34"/>
    <n v="0"/>
    <m/>
    <n v="0"/>
    <n v="1"/>
    <n v="419"/>
    <n v="7"/>
    <x v="2"/>
    <n v="1"/>
    <n v="1"/>
    <n v="53"/>
    <n v="3"/>
    <n v="3"/>
    <n v="2"/>
    <n v="11994"/>
    <n v="21293"/>
    <n v="0"/>
    <n v="11"/>
    <n v="3"/>
    <n v="3"/>
    <n v="80"/>
    <n v="0"/>
    <n v="13"/>
    <n v="3"/>
    <n v="12"/>
    <n v="6"/>
    <n v="2"/>
    <n v="11"/>
  </r>
  <r>
    <s v="No"/>
    <s v="Travel_Rarely"/>
    <x v="4"/>
    <s v="Current Employees"/>
    <x v="1"/>
    <x v="0"/>
    <s v="STAFF-30"/>
    <n v="30"/>
    <x v="1"/>
    <x v="1"/>
    <x v="0"/>
    <s v="No"/>
    <s v="Y"/>
    <n v="6"/>
    <n v="-2"/>
    <n v="0"/>
    <n v="21"/>
    <n v="0"/>
    <m/>
    <n v="0"/>
    <n v="1"/>
    <n v="391"/>
    <n v="15"/>
    <x v="0"/>
    <n v="1"/>
    <n v="3"/>
    <n v="96"/>
    <n v="3"/>
    <n v="1"/>
    <n v="2"/>
    <n v="1232"/>
    <n v="19281"/>
    <n v="1"/>
    <n v="14"/>
    <n v="3"/>
    <n v="4"/>
    <n v="80"/>
    <n v="0"/>
    <n v="0"/>
    <n v="3"/>
    <n v="0"/>
    <n v="0"/>
    <n v="0"/>
    <n v="0"/>
  </r>
  <r>
    <s v="Yes"/>
    <s v="Travel_Rarely"/>
    <x v="2"/>
    <s v="Ex-Employees"/>
    <x v="1"/>
    <x v="2"/>
    <s v="STAFF-31"/>
    <n v="31"/>
    <x v="1"/>
    <x v="1"/>
    <x v="0"/>
    <s v="No"/>
    <s v="Y"/>
    <n v="2"/>
    <n v="-2"/>
    <n v="0"/>
    <n v="34"/>
    <n v="1"/>
    <n v="1"/>
    <n v="1"/>
    <n v="0"/>
    <n v="699"/>
    <n v="6"/>
    <x v="1"/>
    <n v="1"/>
    <n v="2"/>
    <n v="83"/>
    <n v="3"/>
    <n v="1"/>
    <n v="4"/>
    <n v="2960"/>
    <n v="17102"/>
    <n v="2"/>
    <n v="11"/>
    <n v="3"/>
    <n v="3"/>
    <n v="80"/>
    <n v="0"/>
    <n v="8"/>
    <n v="3"/>
    <n v="4"/>
    <n v="2"/>
    <n v="1"/>
    <n v="3"/>
  </r>
  <r>
    <s v="No"/>
    <s v="Travel_Rarely"/>
    <x v="1"/>
    <s v="Current Employees"/>
    <x v="1"/>
    <x v="1"/>
    <s v="STAFF-32"/>
    <n v="32"/>
    <x v="0"/>
    <x v="5"/>
    <x v="2"/>
    <s v="No"/>
    <s v="Y"/>
    <n v="3"/>
    <n v="-2"/>
    <n v="0"/>
    <n v="53"/>
    <n v="0"/>
    <m/>
    <n v="0"/>
    <n v="1"/>
    <n v="1282"/>
    <n v="5"/>
    <x v="3"/>
    <n v="1"/>
    <n v="3"/>
    <n v="58"/>
    <n v="3"/>
    <n v="5"/>
    <n v="3"/>
    <n v="19094"/>
    <n v="10735"/>
    <n v="4"/>
    <n v="11"/>
    <n v="3"/>
    <n v="4"/>
    <n v="80"/>
    <n v="1"/>
    <n v="26"/>
    <n v="2"/>
    <n v="14"/>
    <n v="13"/>
    <n v="4"/>
    <n v="8"/>
  </r>
  <r>
    <s v="Yes"/>
    <s v="Travel_Frequently"/>
    <x v="2"/>
    <s v="Ex-Employees"/>
    <x v="1"/>
    <x v="0"/>
    <s v="STAFF-33"/>
    <n v="33"/>
    <x v="0"/>
    <x v="1"/>
    <x v="0"/>
    <s v="Yes"/>
    <s v="Y"/>
    <n v="5"/>
    <n v="-2"/>
    <n v="0"/>
    <n v="32"/>
    <n v="1"/>
    <n v="1"/>
    <n v="1"/>
    <n v="0"/>
    <n v="1125"/>
    <n v="16"/>
    <x v="1"/>
    <n v="1"/>
    <n v="2"/>
    <n v="72"/>
    <n v="1"/>
    <n v="1"/>
    <n v="2"/>
    <n v="3919"/>
    <n v="4681"/>
    <n v="1"/>
    <n v="22"/>
    <n v="4"/>
    <n v="2"/>
    <n v="80"/>
    <n v="0"/>
    <n v="10"/>
    <n v="3"/>
    <n v="10"/>
    <n v="2"/>
    <n v="6"/>
    <n v="7"/>
  </r>
  <r>
    <s v="No"/>
    <s v="Travel_Rarely"/>
    <x v="0"/>
    <s v="Current Employees"/>
    <x v="0"/>
    <x v="3"/>
    <s v="STAFF-35"/>
    <n v="35"/>
    <x v="1"/>
    <x v="0"/>
    <x v="1"/>
    <s v="No"/>
    <s v="Y"/>
    <n v="2"/>
    <n v="-2"/>
    <n v="0"/>
    <n v="42"/>
    <n v="0"/>
    <m/>
    <n v="0"/>
    <n v="1"/>
    <n v="691"/>
    <n v="8"/>
    <x v="2"/>
    <n v="1"/>
    <n v="3"/>
    <n v="48"/>
    <n v="3"/>
    <n v="2"/>
    <n v="3"/>
    <n v="6825"/>
    <n v="21173"/>
    <n v="0"/>
    <n v="11"/>
    <n v="3"/>
    <n v="4"/>
    <n v="80"/>
    <n v="1"/>
    <n v="10"/>
    <n v="3"/>
    <n v="9"/>
    <n v="7"/>
    <n v="4"/>
    <n v="2"/>
  </r>
  <r>
    <s v="No"/>
    <s v="Travel_Rarely"/>
    <x v="0"/>
    <s v="Current Employees"/>
    <x v="1"/>
    <x v="2"/>
    <s v="STAFF-36"/>
    <n v="36"/>
    <x v="0"/>
    <x v="4"/>
    <x v="1"/>
    <s v="No"/>
    <s v="Y"/>
    <n v="4"/>
    <n v="-2"/>
    <n v="0"/>
    <n v="44"/>
    <n v="0"/>
    <m/>
    <n v="0"/>
    <n v="1"/>
    <n v="477"/>
    <n v="7"/>
    <x v="2"/>
    <n v="1"/>
    <n v="1"/>
    <n v="42"/>
    <n v="2"/>
    <n v="3"/>
    <n v="4"/>
    <n v="10248"/>
    <n v="2094"/>
    <n v="3"/>
    <n v="14"/>
    <n v="3"/>
    <n v="4"/>
    <n v="80"/>
    <n v="1"/>
    <n v="24"/>
    <n v="3"/>
    <n v="22"/>
    <n v="6"/>
    <n v="5"/>
    <n v="17"/>
  </r>
  <r>
    <s v="No"/>
    <s v="Travel_Rarely"/>
    <x v="1"/>
    <s v="Current Employees"/>
    <x v="0"/>
    <x v="3"/>
    <s v="STAFF-38"/>
    <n v="38"/>
    <x v="0"/>
    <x v="5"/>
    <x v="0"/>
    <s v="No"/>
    <s v="Y"/>
    <n v="2"/>
    <n v="-2"/>
    <n v="0"/>
    <n v="46"/>
    <n v="0"/>
    <m/>
    <n v="0"/>
    <n v="1"/>
    <n v="705"/>
    <n v="2"/>
    <x v="2"/>
    <n v="1"/>
    <n v="2"/>
    <n v="83"/>
    <n v="3"/>
    <n v="5"/>
    <n v="4"/>
    <n v="18947"/>
    <n v="22822"/>
    <n v="3"/>
    <n v="12"/>
    <n v="3"/>
    <n v="4"/>
    <n v="80"/>
    <n v="0"/>
    <n v="22"/>
    <n v="2"/>
    <n v="2"/>
    <n v="2"/>
    <n v="2"/>
    <n v="1"/>
  </r>
  <r>
    <s v="No"/>
    <s v="Travel_Rarely"/>
    <x v="2"/>
    <s v="Current Employees"/>
    <x v="1"/>
    <x v="2"/>
    <s v="STAFF-39"/>
    <n v="39"/>
    <x v="1"/>
    <x v="2"/>
    <x v="0"/>
    <s v="No"/>
    <s v="Y"/>
    <n v="3"/>
    <n v="-2"/>
    <n v="0"/>
    <n v="33"/>
    <n v="0"/>
    <m/>
    <n v="0"/>
    <n v="1"/>
    <n v="924"/>
    <n v="2"/>
    <x v="3"/>
    <n v="1"/>
    <n v="3"/>
    <n v="78"/>
    <n v="3"/>
    <n v="1"/>
    <n v="4"/>
    <n v="2496"/>
    <n v="6670"/>
    <n v="4"/>
    <n v="11"/>
    <n v="3"/>
    <n v="4"/>
    <n v="80"/>
    <n v="0"/>
    <n v="7"/>
    <n v="3"/>
    <n v="1"/>
    <n v="1"/>
    <n v="0"/>
    <n v="0"/>
  </r>
  <r>
    <s v="No"/>
    <s v="Travel_Rarely"/>
    <x v="0"/>
    <s v="Current Employees"/>
    <x v="1"/>
    <x v="1"/>
    <s v="STAFF-40"/>
    <n v="40"/>
    <x v="1"/>
    <x v="4"/>
    <x v="1"/>
    <s v="Yes"/>
    <s v="Y"/>
    <n v="5"/>
    <n v="-2"/>
    <n v="0"/>
    <n v="44"/>
    <n v="0"/>
    <m/>
    <n v="0"/>
    <n v="1"/>
    <n v="1459"/>
    <n v="10"/>
    <x v="2"/>
    <n v="1"/>
    <n v="4"/>
    <n v="41"/>
    <n v="3"/>
    <n v="2"/>
    <n v="4"/>
    <n v="6465"/>
    <n v="19121"/>
    <n v="2"/>
    <n v="13"/>
    <n v="3"/>
    <n v="4"/>
    <n v="80"/>
    <n v="0"/>
    <n v="9"/>
    <n v="4"/>
    <n v="4"/>
    <n v="2"/>
    <n v="1"/>
    <n v="3"/>
  </r>
  <r>
    <s v="No"/>
    <s v="Travel_Rarely"/>
    <x v="2"/>
    <s v="Current Employees"/>
    <x v="1"/>
    <x v="2"/>
    <s v="STAFF-41"/>
    <n v="41"/>
    <x v="1"/>
    <x v="2"/>
    <x v="0"/>
    <s v="No"/>
    <s v="Y"/>
    <n v="5"/>
    <n v="-2"/>
    <n v="0"/>
    <n v="30"/>
    <n v="0"/>
    <m/>
    <n v="0"/>
    <n v="1"/>
    <n v="125"/>
    <n v="9"/>
    <x v="0"/>
    <n v="1"/>
    <n v="4"/>
    <n v="83"/>
    <n v="2"/>
    <n v="1"/>
    <n v="3"/>
    <n v="2206"/>
    <n v="16117"/>
    <n v="1"/>
    <n v="13"/>
    <n v="3"/>
    <n v="1"/>
    <n v="80"/>
    <n v="0"/>
    <n v="10"/>
    <n v="3"/>
    <n v="10"/>
    <n v="0"/>
    <n v="1"/>
    <n v="8"/>
  </r>
  <r>
    <s v="Yes"/>
    <s v="Travel_Rarely"/>
    <x v="0"/>
    <s v="Ex-Employees"/>
    <x v="0"/>
    <x v="4"/>
    <s v="STAFF-42"/>
    <n v="42"/>
    <x v="1"/>
    <x v="6"/>
    <x v="1"/>
    <s v="No"/>
    <s v="Y"/>
    <n v="6"/>
    <n v="-2"/>
    <n v="0"/>
    <n v="39"/>
    <n v="1"/>
    <n v="1"/>
    <n v="1"/>
    <n v="0"/>
    <n v="895"/>
    <n v="5"/>
    <x v="3"/>
    <n v="1"/>
    <n v="4"/>
    <n v="56"/>
    <n v="3"/>
    <n v="2"/>
    <n v="4"/>
    <n v="2086"/>
    <n v="3335"/>
    <n v="3"/>
    <n v="14"/>
    <n v="3"/>
    <n v="3"/>
    <n v="80"/>
    <n v="1"/>
    <n v="19"/>
    <n v="4"/>
    <n v="1"/>
    <n v="0"/>
    <n v="0"/>
    <n v="0"/>
  </r>
  <r>
    <s v="Yes"/>
    <s v="Travel_Rarely"/>
    <x v="4"/>
    <s v="Ex-Employees"/>
    <x v="1"/>
    <x v="2"/>
    <s v="STAFF-45"/>
    <n v="45"/>
    <x v="1"/>
    <x v="1"/>
    <x v="1"/>
    <s v="Yes"/>
    <s v="Y"/>
    <n v="2"/>
    <n v="-2"/>
    <n v="0"/>
    <n v="24"/>
    <n v="1"/>
    <n v="1"/>
    <n v="1"/>
    <n v="0"/>
    <n v="813"/>
    <n v="1"/>
    <x v="3"/>
    <n v="1"/>
    <n v="2"/>
    <n v="61"/>
    <n v="3"/>
    <n v="1"/>
    <n v="4"/>
    <n v="2293"/>
    <n v="3020"/>
    <n v="2"/>
    <n v="16"/>
    <n v="3"/>
    <n v="1"/>
    <n v="80"/>
    <n v="1"/>
    <n v="6"/>
    <n v="2"/>
    <n v="2"/>
    <n v="0"/>
    <n v="2"/>
    <n v="0"/>
  </r>
  <r>
    <s v="No"/>
    <s v="Travel_Rarely"/>
    <x v="0"/>
    <s v="Current Employees"/>
    <x v="1"/>
    <x v="2"/>
    <s v="STAFF-46"/>
    <n v="46"/>
    <x v="0"/>
    <x v="1"/>
    <x v="2"/>
    <s v="No"/>
    <s v="Y"/>
    <n v="3"/>
    <n v="-2"/>
    <n v="0"/>
    <n v="43"/>
    <n v="0"/>
    <m/>
    <n v="0"/>
    <n v="1"/>
    <n v="1273"/>
    <n v="2"/>
    <x v="0"/>
    <n v="1"/>
    <n v="4"/>
    <n v="72"/>
    <n v="4"/>
    <n v="1"/>
    <n v="3"/>
    <n v="2645"/>
    <n v="21923"/>
    <n v="1"/>
    <n v="12"/>
    <n v="3"/>
    <n v="4"/>
    <n v="80"/>
    <n v="2"/>
    <n v="6"/>
    <n v="2"/>
    <n v="5"/>
    <n v="3"/>
    <n v="1"/>
    <n v="4"/>
  </r>
  <r>
    <s v="Yes"/>
    <s v="Travel_Rarely"/>
    <x v="1"/>
    <s v="Ex-Employees"/>
    <x v="0"/>
    <x v="3"/>
    <s v="STAFF-47"/>
    <n v="47"/>
    <x v="1"/>
    <x v="6"/>
    <x v="1"/>
    <s v="Yes"/>
    <s v="Y"/>
    <n v="2"/>
    <n v="-2"/>
    <n v="0"/>
    <n v="50"/>
    <n v="1"/>
    <n v="1"/>
    <n v="1"/>
    <n v="0"/>
    <n v="869"/>
    <n v="3"/>
    <x v="0"/>
    <n v="1"/>
    <n v="1"/>
    <n v="86"/>
    <n v="2"/>
    <n v="1"/>
    <n v="3"/>
    <n v="2683"/>
    <n v="3810"/>
    <n v="1"/>
    <n v="14"/>
    <n v="3"/>
    <n v="3"/>
    <n v="80"/>
    <n v="0"/>
    <n v="3"/>
    <n v="3"/>
    <n v="3"/>
    <n v="2"/>
    <n v="0"/>
    <n v="2"/>
  </r>
  <r>
    <s v="No"/>
    <s v="Travel_Rarely"/>
    <x v="0"/>
    <s v="Current Employees"/>
    <x v="0"/>
    <x v="3"/>
    <s v="STAFF-49"/>
    <n v="49"/>
    <x v="0"/>
    <x v="6"/>
    <x v="1"/>
    <s v="No"/>
    <s v="Y"/>
    <n v="3"/>
    <n v="-2"/>
    <n v="0"/>
    <n v="35"/>
    <n v="0"/>
    <m/>
    <n v="0"/>
    <n v="1"/>
    <n v="890"/>
    <n v="2"/>
    <x v="3"/>
    <n v="1"/>
    <n v="4"/>
    <n v="97"/>
    <n v="3"/>
    <n v="1"/>
    <n v="4"/>
    <n v="2014"/>
    <n v="9687"/>
    <n v="1"/>
    <n v="13"/>
    <n v="3"/>
    <n v="1"/>
    <n v="80"/>
    <n v="0"/>
    <n v="2"/>
    <n v="3"/>
    <n v="2"/>
    <n v="2"/>
    <n v="2"/>
    <n v="2"/>
  </r>
  <r>
    <s v="No"/>
    <s v="Travel_Rarely"/>
    <x v="0"/>
    <s v="Current Employees"/>
    <x v="1"/>
    <x v="0"/>
    <s v="STAFF-51"/>
    <n v="51"/>
    <x v="0"/>
    <x v="1"/>
    <x v="1"/>
    <s v="Yes"/>
    <s v="Y"/>
    <n v="3"/>
    <n v="-2"/>
    <n v="0"/>
    <n v="36"/>
    <n v="0"/>
    <m/>
    <n v="0"/>
    <n v="1"/>
    <n v="852"/>
    <n v="5"/>
    <x v="2"/>
    <n v="1"/>
    <n v="2"/>
    <n v="82"/>
    <n v="2"/>
    <n v="1"/>
    <n v="2"/>
    <n v="3419"/>
    <n v="13072"/>
    <n v="9"/>
    <n v="14"/>
    <n v="3"/>
    <n v="4"/>
    <n v="80"/>
    <n v="1"/>
    <n v="6"/>
    <n v="4"/>
    <n v="1"/>
    <n v="1"/>
    <n v="0"/>
    <n v="0"/>
  </r>
  <r>
    <s v="No"/>
    <s v="Travel_Frequently"/>
    <x v="2"/>
    <s v="Current Employees"/>
    <x v="0"/>
    <x v="0"/>
    <s v="STAFF-52"/>
    <n v="52"/>
    <x v="0"/>
    <x v="0"/>
    <x v="1"/>
    <s v="No"/>
    <s v="Y"/>
    <n v="3"/>
    <n v="-2"/>
    <n v="0"/>
    <n v="33"/>
    <n v="0"/>
    <m/>
    <n v="0"/>
    <n v="1"/>
    <n v="1141"/>
    <n v="1"/>
    <x v="3"/>
    <n v="1"/>
    <n v="3"/>
    <n v="42"/>
    <n v="4"/>
    <n v="2"/>
    <n v="2"/>
    <n v="5376"/>
    <n v="3193"/>
    <n v="2"/>
    <n v="19"/>
    <n v="3"/>
    <n v="1"/>
    <n v="80"/>
    <n v="2"/>
    <n v="10"/>
    <n v="3"/>
    <n v="5"/>
    <n v="3"/>
    <n v="1"/>
    <n v="3"/>
  </r>
  <r>
    <s v="No"/>
    <s v="Travel_Rarely"/>
    <x v="0"/>
    <s v="Current Employees"/>
    <x v="1"/>
    <x v="1"/>
    <s v="STAFF-53"/>
    <n v="53"/>
    <x v="1"/>
    <x v="2"/>
    <x v="2"/>
    <s v="No"/>
    <s v="Y"/>
    <n v="3"/>
    <n v="-2"/>
    <n v="0"/>
    <n v="35"/>
    <n v="0"/>
    <m/>
    <n v="0"/>
    <n v="1"/>
    <n v="464"/>
    <n v="4"/>
    <x v="0"/>
    <n v="1"/>
    <n v="3"/>
    <n v="75"/>
    <n v="3"/>
    <n v="1"/>
    <n v="4"/>
    <n v="1951"/>
    <n v="10910"/>
    <n v="1"/>
    <n v="12"/>
    <n v="3"/>
    <n v="3"/>
    <n v="80"/>
    <n v="1"/>
    <n v="1"/>
    <n v="3"/>
    <n v="1"/>
    <n v="0"/>
    <n v="0"/>
    <n v="0"/>
  </r>
  <r>
    <s v="No"/>
    <s v="Travel_Rarely"/>
    <x v="2"/>
    <s v="Current Employees"/>
    <x v="1"/>
    <x v="0"/>
    <s v="STAFF-54"/>
    <n v="54"/>
    <x v="0"/>
    <x v="2"/>
    <x v="2"/>
    <s v="No"/>
    <s v="Y"/>
    <n v="6"/>
    <n v="-2"/>
    <n v="0"/>
    <n v="27"/>
    <n v="0"/>
    <m/>
    <n v="0"/>
    <n v="1"/>
    <n v="1240"/>
    <n v="2"/>
    <x v="2"/>
    <n v="1"/>
    <n v="4"/>
    <n v="33"/>
    <n v="3"/>
    <n v="1"/>
    <n v="2"/>
    <n v="2341"/>
    <n v="19715"/>
    <n v="1"/>
    <n v="13"/>
    <n v="3"/>
    <n v="4"/>
    <n v="80"/>
    <n v="1"/>
    <n v="1"/>
    <n v="3"/>
    <n v="1"/>
    <n v="0"/>
    <n v="0"/>
    <n v="0"/>
  </r>
  <r>
    <s v="Yes"/>
    <s v="Travel_Rarely"/>
    <x v="2"/>
    <s v="Ex-Employees"/>
    <x v="1"/>
    <x v="0"/>
    <s v="STAFF-55"/>
    <n v="55"/>
    <x v="1"/>
    <x v="2"/>
    <x v="0"/>
    <s v="No"/>
    <s v="Y"/>
    <n v="2"/>
    <n v="-2"/>
    <n v="0"/>
    <n v="26"/>
    <n v="1"/>
    <n v="1"/>
    <n v="1"/>
    <n v="0"/>
    <n v="1357"/>
    <n v="25"/>
    <x v="3"/>
    <n v="1"/>
    <n v="1"/>
    <n v="48"/>
    <n v="1"/>
    <n v="1"/>
    <n v="2"/>
    <n v="2293"/>
    <n v="10558"/>
    <n v="1"/>
    <n v="12"/>
    <n v="3"/>
    <n v="3"/>
    <n v="80"/>
    <n v="0"/>
    <n v="1"/>
    <n v="2"/>
    <n v="1"/>
    <n v="0"/>
    <n v="0"/>
    <n v="1"/>
  </r>
  <r>
    <s v="No"/>
    <s v="Travel_Frequently"/>
    <x v="2"/>
    <s v="Current Employees"/>
    <x v="0"/>
    <x v="0"/>
    <s v="STAFF-56"/>
    <n v="56"/>
    <x v="1"/>
    <x v="0"/>
    <x v="0"/>
    <s v="No"/>
    <s v="Y"/>
    <n v="0"/>
    <n v="-2"/>
    <n v="0"/>
    <n v="27"/>
    <n v="0"/>
    <m/>
    <n v="0"/>
    <n v="1"/>
    <n v="994"/>
    <n v="8"/>
    <x v="3"/>
    <n v="1"/>
    <n v="4"/>
    <n v="37"/>
    <n v="3"/>
    <n v="3"/>
    <n v="2"/>
    <n v="8726"/>
    <n v="2975"/>
    <n v="1"/>
    <n v="15"/>
    <n v="3"/>
    <n v="4"/>
    <n v="80"/>
    <n v="0"/>
    <n v="9"/>
    <n v="3"/>
    <n v="9"/>
    <n v="8"/>
    <n v="1"/>
    <n v="7"/>
  </r>
  <r>
    <s v="No"/>
    <s v="Travel_Frequently"/>
    <x v="2"/>
    <s v="Current Employees"/>
    <x v="1"/>
    <x v="2"/>
    <s v="STAFF-57"/>
    <n v="57"/>
    <x v="0"/>
    <x v="2"/>
    <x v="0"/>
    <s v="No"/>
    <s v="Y"/>
    <n v="2"/>
    <n v="-2"/>
    <n v="0"/>
    <n v="30"/>
    <n v="0"/>
    <m/>
    <n v="0"/>
    <n v="1"/>
    <n v="721"/>
    <n v="1"/>
    <x v="0"/>
    <n v="1"/>
    <n v="3"/>
    <n v="58"/>
    <n v="3"/>
    <n v="2"/>
    <n v="4"/>
    <n v="4011"/>
    <n v="10781"/>
    <n v="1"/>
    <n v="23"/>
    <n v="4"/>
    <n v="4"/>
    <n v="80"/>
    <n v="0"/>
    <n v="12"/>
    <n v="3"/>
    <n v="12"/>
    <n v="8"/>
    <n v="3"/>
    <n v="7"/>
  </r>
  <r>
    <s v="Yes"/>
    <s v="Travel_Rarely"/>
    <x v="0"/>
    <s v="Ex-Employees"/>
    <x v="1"/>
    <x v="4"/>
    <s v="STAFF-58"/>
    <n v="58"/>
    <x v="0"/>
    <x v="7"/>
    <x v="1"/>
    <s v="No"/>
    <s v="Y"/>
    <n v="0"/>
    <n v="-2"/>
    <n v="0"/>
    <n v="41"/>
    <n v="1"/>
    <n v="1"/>
    <n v="1"/>
    <n v="0"/>
    <n v="1360"/>
    <n v="12"/>
    <x v="3"/>
    <n v="1"/>
    <n v="2"/>
    <n v="49"/>
    <n v="3"/>
    <n v="5"/>
    <n v="3"/>
    <n v="19545"/>
    <n v="16280"/>
    <n v="1"/>
    <n v="12"/>
    <n v="3"/>
    <n v="4"/>
    <n v="80"/>
    <n v="0"/>
    <n v="23"/>
    <n v="3"/>
    <n v="22"/>
    <n v="15"/>
    <n v="15"/>
    <n v="8"/>
  </r>
  <r>
    <s v="No"/>
    <s v="Non-Travel"/>
    <x v="2"/>
    <s v="Current Employees"/>
    <x v="0"/>
    <x v="3"/>
    <s v="STAFF-60"/>
    <n v="60"/>
    <x v="1"/>
    <x v="0"/>
    <x v="0"/>
    <s v="No"/>
    <s v="Y"/>
    <n v="2"/>
    <n v="-2"/>
    <n v="0"/>
    <n v="34"/>
    <n v="0"/>
    <m/>
    <n v="0"/>
    <n v="1"/>
    <n v="1065"/>
    <n v="23"/>
    <x v="2"/>
    <n v="1"/>
    <n v="2"/>
    <n v="72"/>
    <n v="3"/>
    <n v="2"/>
    <n v="3"/>
    <n v="4568"/>
    <n v="10034"/>
    <n v="0"/>
    <n v="20"/>
    <n v="4"/>
    <n v="3"/>
    <n v="80"/>
    <n v="0"/>
    <n v="10"/>
    <n v="3"/>
    <n v="9"/>
    <n v="5"/>
    <n v="8"/>
    <n v="7"/>
  </r>
  <r>
    <s v="No"/>
    <s v="Travel_Rarely"/>
    <x v="0"/>
    <s v="Current Employees"/>
    <x v="1"/>
    <x v="0"/>
    <s v="STAFF-61"/>
    <n v="61"/>
    <x v="1"/>
    <x v="1"/>
    <x v="1"/>
    <s v="No"/>
    <s v="Y"/>
    <n v="1"/>
    <n v="-2"/>
    <n v="0"/>
    <n v="37"/>
    <n v="0"/>
    <m/>
    <n v="0"/>
    <n v="1"/>
    <n v="408"/>
    <n v="19"/>
    <x v="0"/>
    <n v="1"/>
    <n v="2"/>
    <n v="73"/>
    <n v="3"/>
    <n v="1"/>
    <n v="2"/>
    <n v="3022"/>
    <n v="10227"/>
    <n v="4"/>
    <n v="21"/>
    <n v="4"/>
    <n v="1"/>
    <n v="80"/>
    <n v="0"/>
    <n v="8"/>
    <n v="3"/>
    <n v="1"/>
    <n v="0"/>
    <n v="0"/>
    <n v="0"/>
  </r>
  <r>
    <s v="No"/>
    <s v="Travel_Frequently"/>
    <x v="1"/>
    <s v="Current Employees"/>
    <x v="0"/>
    <x v="3"/>
    <s v="STAFF-62"/>
    <n v="62"/>
    <x v="1"/>
    <x v="0"/>
    <x v="0"/>
    <s v="Yes"/>
    <s v="Y"/>
    <n v="4"/>
    <n v="-2"/>
    <n v="0"/>
    <n v="46"/>
    <n v="0"/>
    <m/>
    <n v="0"/>
    <n v="1"/>
    <n v="1211"/>
    <n v="5"/>
    <x v="2"/>
    <n v="1"/>
    <n v="1"/>
    <n v="98"/>
    <n v="3"/>
    <n v="2"/>
    <n v="4"/>
    <n v="5772"/>
    <n v="20445"/>
    <n v="4"/>
    <n v="21"/>
    <n v="4"/>
    <n v="3"/>
    <n v="80"/>
    <n v="0"/>
    <n v="14"/>
    <n v="3"/>
    <n v="9"/>
    <n v="6"/>
    <n v="0"/>
    <n v="8"/>
  </r>
  <r>
    <s v="No"/>
    <s v="Travel_Rarely"/>
    <x v="0"/>
    <s v="Current Employees"/>
    <x v="1"/>
    <x v="0"/>
    <s v="STAFF-63"/>
    <n v="63"/>
    <x v="1"/>
    <x v="2"/>
    <x v="1"/>
    <s v="No"/>
    <s v="Y"/>
    <n v="2"/>
    <n v="-2"/>
    <n v="0"/>
    <n v="35"/>
    <n v="0"/>
    <m/>
    <n v="0"/>
    <n v="1"/>
    <n v="1229"/>
    <n v="8"/>
    <x v="1"/>
    <n v="1"/>
    <n v="4"/>
    <n v="36"/>
    <n v="4"/>
    <n v="1"/>
    <n v="2"/>
    <n v="2269"/>
    <n v="4892"/>
    <n v="1"/>
    <n v="19"/>
    <n v="3"/>
    <n v="4"/>
    <n v="80"/>
    <n v="0"/>
    <n v="1"/>
    <n v="3"/>
    <n v="1"/>
    <n v="0"/>
    <n v="0"/>
    <n v="1"/>
  </r>
  <r>
    <s v="Yes"/>
    <s v="Travel_Rarely"/>
    <x v="1"/>
    <s v="Ex-Employees"/>
    <x v="1"/>
    <x v="0"/>
    <s v="STAFF-64"/>
    <n v="64"/>
    <x v="1"/>
    <x v="2"/>
    <x v="0"/>
    <s v="Yes"/>
    <s v="Y"/>
    <n v="2"/>
    <n v="-2"/>
    <n v="0"/>
    <n v="48"/>
    <n v="1"/>
    <n v="1"/>
    <n v="1"/>
    <n v="0"/>
    <n v="626"/>
    <n v="1"/>
    <x v="0"/>
    <n v="1"/>
    <n v="1"/>
    <n v="98"/>
    <n v="2"/>
    <n v="3"/>
    <n v="2"/>
    <n v="5381"/>
    <n v="19294"/>
    <n v="9"/>
    <n v="13"/>
    <n v="3"/>
    <n v="4"/>
    <n v="80"/>
    <n v="0"/>
    <n v="23"/>
    <n v="3"/>
    <n v="1"/>
    <n v="0"/>
    <n v="0"/>
    <n v="0"/>
  </r>
  <r>
    <s v="Yes"/>
    <s v="Travel_Rarely"/>
    <x v="2"/>
    <s v="Ex-Employees"/>
    <x v="1"/>
    <x v="4"/>
    <s v="STAFF-65"/>
    <n v="65"/>
    <x v="1"/>
    <x v="2"/>
    <x v="0"/>
    <s v="Yes"/>
    <s v="Y"/>
    <n v="3"/>
    <n v="-2"/>
    <n v="0"/>
    <n v="28"/>
    <n v="1"/>
    <n v="1"/>
    <n v="1"/>
    <n v="0"/>
    <n v="1434"/>
    <n v="5"/>
    <x v="2"/>
    <n v="1"/>
    <n v="3"/>
    <n v="50"/>
    <n v="3"/>
    <n v="1"/>
    <n v="3"/>
    <n v="3441"/>
    <n v="11179"/>
    <n v="1"/>
    <n v="13"/>
    <n v="3"/>
    <n v="3"/>
    <n v="80"/>
    <n v="0"/>
    <n v="2"/>
    <n v="2"/>
    <n v="2"/>
    <n v="2"/>
    <n v="2"/>
    <n v="2"/>
  </r>
  <r>
    <s v="No"/>
    <s v="Travel_Rarely"/>
    <x v="0"/>
    <s v="Current Employees"/>
    <x v="0"/>
    <x v="3"/>
    <s v="STAFF-68"/>
    <n v="68"/>
    <x v="0"/>
    <x v="0"/>
    <x v="2"/>
    <s v="Yes"/>
    <s v="Y"/>
    <n v="2"/>
    <n v="-2"/>
    <n v="0"/>
    <n v="44"/>
    <n v="0"/>
    <m/>
    <n v="0"/>
    <n v="1"/>
    <n v="1488"/>
    <n v="1"/>
    <x v="4"/>
    <n v="1"/>
    <n v="2"/>
    <n v="75"/>
    <n v="3"/>
    <n v="2"/>
    <n v="4"/>
    <n v="5454"/>
    <n v="4009"/>
    <n v="5"/>
    <n v="21"/>
    <n v="4"/>
    <n v="3"/>
    <n v="80"/>
    <n v="1"/>
    <n v="9"/>
    <n v="2"/>
    <n v="4"/>
    <n v="3"/>
    <n v="1"/>
    <n v="3"/>
  </r>
  <r>
    <s v="No"/>
    <s v="Non-Travel"/>
    <x v="0"/>
    <s v="Current Employees"/>
    <x v="1"/>
    <x v="2"/>
    <s v="STAFF-70"/>
    <n v="70"/>
    <x v="1"/>
    <x v="4"/>
    <x v="1"/>
    <s v="Yes"/>
    <s v="Y"/>
    <n v="3"/>
    <n v="-2"/>
    <n v="0"/>
    <n v="35"/>
    <n v="0"/>
    <m/>
    <n v="0"/>
    <n v="1"/>
    <n v="1097"/>
    <n v="11"/>
    <x v="0"/>
    <n v="1"/>
    <n v="3"/>
    <n v="79"/>
    <n v="2"/>
    <n v="3"/>
    <n v="4"/>
    <n v="9884"/>
    <n v="8302"/>
    <n v="2"/>
    <n v="13"/>
    <n v="3"/>
    <n v="3"/>
    <n v="80"/>
    <n v="1"/>
    <n v="10"/>
    <n v="3"/>
    <n v="4"/>
    <n v="0"/>
    <n v="2"/>
    <n v="3"/>
  </r>
  <r>
    <s v="No"/>
    <s v="Travel_Rarely"/>
    <x v="2"/>
    <s v="Current Employees"/>
    <x v="0"/>
    <x v="3"/>
    <s v="STAFF-72"/>
    <n v="72"/>
    <x v="0"/>
    <x v="0"/>
    <x v="1"/>
    <s v="Yes"/>
    <s v="Y"/>
    <n v="2"/>
    <n v="-2"/>
    <n v="0"/>
    <n v="26"/>
    <n v="0"/>
    <m/>
    <n v="0"/>
    <n v="1"/>
    <n v="1443"/>
    <n v="23"/>
    <x v="3"/>
    <n v="1"/>
    <n v="3"/>
    <n v="47"/>
    <n v="2"/>
    <n v="2"/>
    <n v="4"/>
    <n v="4157"/>
    <n v="21436"/>
    <n v="7"/>
    <n v="19"/>
    <n v="3"/>
    <n v="3"/>
    <n v="80"/>
    <n v="1"/>
    <n v="5"/>
    <n v="2"/>
    <n v="2"/>
    <n v="2"/>
    <n v="0"/>
    <n v="0"/>
  </r>
  <r>
    <s v="No"/>
    <s v="Travel_Frequently"/>
    <x v="2"/>
    <s v="Current Employees"/>
    <x v="1"/>
    <x v="0"/>
    <s v="STAFF-73"/>
    <n v="73"/>
    <x v="0"/>
    <x v="7"/>
    <x v="0"/>
    <s v="Yes"/>
    <s v="Y"/>
    <n v="1"/>
    <n v="-2"/>
    <n v="0"/>
    <n v="33"/>
    <n v="0"/>
    <m/>
    <n v="0"/>
    <n v="1"/>
    <n v="515"/>
    <n v="1"/>
    <x v="0"/>
    <n v="1"/>
    <n v="1"/>
    <n v="98"/>
    <n v="3"/>
    <n v="3"/>
    <n v="2"/>
    <n v="13458"/>
    <n v="15146"/>
    <n v="1"/>
    <n v="12"/>
    <n v="3"/>
    <n v="3"/>
    <n v="80"/>
    <n v="0"/>
    <n v="15"/>
    <n v="3"/>
    <n v="15"/>
    <n v="14"/>
    <n v="8"/>
    <n v="12"/>
  </r>
  <r>
    <s v="No"/>
    <s v="Travel_Frequently"/>
    <x v="0"/>
    <s v="Current Employees"/>
    <x v="0"/>
    <x v="0"/>
    <s v="STAFF-74"/>
    <n v="74"/>
    <x v="1"/>
    <x v="0"/>
    <x v="1"/>
    <s v="No"/>
    <s v="Y"/>
    <n v="3"/>
    <n v="-2"/>
    <n v="0"/>
    <n v="35"/>
    <n v="0"/>
    <m/>
    <n v="0"/>
    <n v="1"/>
    <n v="853"/>
    <n v="18"/>
    <x v="4"/>
    <n v="1"/>
    <n v="2"/>
    <n v="71"/>
    <n v="3"/>
    <n v="3"/>
    <n v="2"/>
    <n v="9069"/>
    <n v="11031"/>
    <n v="1"/>
    <n v="22"/>
    <n v="4"/>
    <n v="4"/>
    <n v="80"/>
    <n v="1"/>
    <n v="9"/>
    <n v="2"/>
    <n v="9"/>
    <n v="8"/>
    <n v="1"/>
    <n v="8"/>
  </r>
  <r>
    <s v="No"/>
    <s v="Travel_Rarely"/>
    <x v="0"/>
    <s v="Current Employees"/>
    <x v="1"/>
    <x v="2"/>
    <s v="STAFF-75"/>
    <n v="75"/>
    <x v="0"/>
    <x v="2"/>
    <x v="1"/>
    <s v="Yes"/>
    <s v="Y"/>
    <n v="3"/>
    <n v="-2"/>
    <n v="0"/>
    <n v="35"/>
    <n v="0"/>
    <m/>
    <n v="0"/>
    <n v="1"/>
    <n v="1142"/>
    <n v="23"/>
    <x v="2"/>
    <n v="1"/>
    <n v="3"/>
    <n v="30"/>
    <n v="3"/>
    <n v="1"/>
    <n v="4"/>
    <n v="4014"/>
    <n v="16002"/>
    <n v="3"/>
    <n v="15"/>
    <n v="3"/>
    <n v="3"/>
    <n v="80"/>
    <n v="1"/>
    <n v="4"/>
    <n v="3"/>
    <n v="2"/>
    <n v="2"/>
    <n v="2"/>
    <n v="2"/>
  </r>
  <r>
    <s v="No"/>
    <s v="Travel_Rarely"/>
    <x v="2"/>
    <s v="Current Employees"/>
    <x v="1"/>
    <x v="0"/>
    <s v="STAFF-76"/>
    <n v="76"/>
    <x v="1"/>
    <x v="2"/>
    <x v="2"/>
    <s v="No"/>
    <s v="Y"/>
    <n v="3"/>
    <n v="-2"/>
    <n v="0"/>
    <n v="31"/>
    <n v="0"/>
    <m/>
    <n v="0"/>
    <n v="1"/>
    <n v="655"/>
    <n v="7"/>
    <x v="2"/>
    <n v="1"/>
    <n v="4"/>
    <n v="48"/>
    <n v="3"/>
    <n v="2"/>
    <n v="2"/>
    <n v="5915"/>
    <n v="9528"/>
    <n v="3"/>
    <n v="22"/>
    <n v="4"/>
    <n v="4"/>
    <n v="80"/>
    <n v="1"/>
    <n v="10"/>
    <n v="2"/>
    <n v="7"/>
    <n v="7"/>
    <n v="1"/>
    <n v="7"/>
  </r>
  <r>
    <s v="No"/>
    <s v="Travel_Rarely"/>
    <x v="0"/>
    <s v="Current Employees"/>
    <x v="1"/>
    <x v="0"/>
    <s v="STAFF-77"/>
    <n v="77"/>
    <x v="1"/>
    <x v="3"/>
    <x v="2"/>
    <s v="No"/>
    <s v="Y"/>
    <n v="2"/>
    <n v="-2"/>
    <n v="0"/>
    <n v="37"/>
    <n v="0"/>
    <m/>
    <n v="0"/>
    <n v="1"/>
    <n v="1115"/>
    <n v="1"/>
    <x v="2"/>
    <n v="1"/>
    <n v="1"/>
    <n v="51"/>
    <n v="2"/>
    <n v="2"/>
    <n v="2"/>
    <n v="5993"/>
    <n v="2689"/>
    <n v="1"/>
    <n v="18"/>
    <n v="3"/>
    <n v="3"/>
    <n v="80"/>
    <n v="1"/>
    <n v="7"/>
    <n v="4"/>
    <n v="7"/>
    <n v="5"/>
    <n v="0"/>
    <n v="7"/>
  </r>
  <r>
    <s v="No"/>
    <s v="Travel_Rarely"/>
    <x v="2"/>
    <s v="Current Employees"/>
    <x v="1"/>
    <x v="2"/>
    <s v="STAFF-78"/>
    <n v="78"/>
    <x v="1"/>
    <x v="3"/>
    <x v="1"/>
    <s v="Yes"/>
    <s v="Y"/>
    <n v="3"/>
    <n v="-2"/>
    <n v="0"/>
    <n v="32"/>
    <n v="0"/>
    <m/>
    <n v="0"/>
    <n v="1"/>
    <n v="427"/>
    <n v="1"/>
    <x v="3"/>
    <n v="1"/>
    <n v="1"/>
    <n v="33"/>
    <n v="3"/>
    <n v="2"/>
    <n v="4"/>
    <n v="6162"/>
    <n v="10877"/>
    <n v="1"/>
    <n v="22"/>
    <n v="4"/>
    <n v="2"/>
    <n v="80"/>
    <n v="1"/>
    <n v="9"/>
    <n v="3"/>
    <n v="9"/>
    <n v="8"/>
    <n v="7"/>
    <n v="8"/>
  </r>
  <r>
    <s v="No"/>
    <s v="Travel_Frequently"/>
    <x v="0"/>
    <s v="Current Employees"/>
    <x v="1"/>
    <x v="0"/>
    <s v="STAFF-79"/>
    <n v="79"/>
    <x v="0"/>
    <x v="2"/>
    <x v="0"/>
    <s v="No"/>
    <s v="Y"/>
    <n v="2"/>
    <n v="-2"/>
    <n v="0"/>
    <n v="38"/>
    <n v="0"/>
    <m/>
    <n v="0"/>
    <n v="1"/>
    <n v="653"/>
    <n v="29"/>
    <x v="4"/>
    <n v="1"/>
    <n v="4"/>
    <n v="50"/>
    <n v="3"/>
    <n v="2"/>
    <n v="2"/>
    <n v="2406"/>
    <n v="5456"/>
    <n v="1"/>
    <n v="11"/>
    <n v="3"/>
    <n v="4"/>
    <n v="80"/>
    <n v="0"/>
    <n v="10"/>
    <n v="3"/>
    <n v="10"/>
    <n v="3"/>
    <n v="9"/>
    <n v="9"/>
  </r>
  <r>
    <s v="No"/>
    <s v="Travel_Rarely"/>
    <x v="1"/>
    <s v="Current Employees"/>
    <x v="1"/>
    <x v="2"/>
    <s v="STAFF-80"/>
    <n v="80"/>
    <x v="0"/>
    <x v="7"/>
    <x v="2"/>
    <s v="Yes"/>
    <s v="Y"/>
    <n v="2"/>
    <n v="-2"/>
    <n v="0"/>
    <n v="50"/>
    <n v="0"/>
    <m/>
    <n v="0"/>
    <n v="1"/>
    <n v="989"/>
    <n v="7"/>
    <x v="0"/>
    <n v="1"/>
    <n v="2"/>
    <n v="43"/>
    <n v="2"/>
    <n v="5"/>
    <n v="3"/>
    <n v="18740"/>
    <n v="16701"/>
    <n v="5"/>
    <n v="12"/>
    <n v="3"/>
    <n v="4"/>
    <n v="80"/>
    <n v="1"/>
    <n v="29"/>
    <n v="2"/>
    <n v="27"/>
    <n v="3"/>
    <n v="13"/>
    <n v="8"/>
  </r>
  <r>
    <s v="No"/>
    <s v="Travel_Rarely"/>
    <x v="3"/>
    <s v="Current Employees"/>
    <x v="0"/>
    <x v="0"/>
    <s v="STAFF-81"/>
    <n v="81"/>
    <x v="0"/>
    <x v="0"/>
    <x v="0"/>
    <s v="No"/>
    <s v="Y"/>
    <n v="3"/>
    <n v="-2"/>
    <n v="0"/>
    <n v="59"/>
    <n v="0"/>
    <m/>
    <n v="0"/>
    <n v="1"/>
    <n v="1435"/>
    <n v="25"/>
    <x v="3"/>
    <n v="1"/>
    <n v="1"/>
    <n v="99"/>
    <n v="3"/>
    <n v="3"/>
    <n v="2"/>
    <n v="7637"/>
    <n v="2354"/>
    <n v="7"/>
    <n v="11"/>
    <n v="3"/>
    <n v="4"/>
    <n v="80"/>
    <n v="0"/>
    <n v="28"/>
    <n v="2"/>
    <n v="21"/>
    <n v="16"/>
    <n v="7"/>
    <n v="9"/>
  </r>
  <r>
    <s v="No"/>
    <s v="Travel_Rarely"/>
    <x v="0"/>
    <s v="Current Employees"/>
    <x v="1"/>
    <x v="4"/>
    <s v="STAFF-83"/>
    <n v="83"/>
    <x v="0"/>
    <x v="4"/>
    <x v="2"/>
    <s v="No"/>
    <s v="Y"/>
    <n v="2"/>
    <n v="-2"/>
    <n v="0"/>
    <n v="36"/>
    <n v="0"/>
    <m/>
    <n v="0"/>
    <n v="1"/>
    <n v="1223"/>
    <n v="8"/>
    <x v="3"/>
    <n v="1"/>
    <n v="3"/>
    <n v="59"/>
    <n v="3"/>
    <n v="3"/>
    <n v="3"/>
    <n v="10096"/>
    <n v="8202"/>
    <n v="1"/>
    <n v="13"/>
    <n v="3"/>
    <n v="2"/>
    <n v="80"/>
    <n v="3"/>
    <n v="17"/>
    <n v="3"/>
    <n v="17"/>
    <n v="14"/>
    <n v="12"/>
    <n v="8"/>
  </r>
  <r>
    <s v="No"/>
    <s v="Travel_Rarely"/>
    <x v="3"/>
    <s v="Current Employees"/>
    <x v="1"/>
    <x v="2"/>
    <s v="STAFF-84"/>
    <n v="84"/>
    <x v="0"/>
    <x v="5"/>
    <x v="2"/>
    <s v="Yes"/>
    <s v="Y"/>
    <n v="2"/>
    <n v="-2"/>
    <n v="0"/>
    <n v="55"/>
    <n v="0"/>
    <m/>
    <n v="0"/>
    <n v="1"/>
    <n v="836"/>
    <n v="8"/>
    <x v="3"/>
    <n v="1"/>
    <n v="4"/>
    <n v="33"/>
    <n v="3"/>
    <n v="4"/>
    <n v="3"/>
    <n v="14756"/>
    <n v="19730"/>
    <n v="2"/>
    <n v="14"/>
    <n v="3"/>
    <n v="3"/>
    <n v="80"/>
    <n v="3"/>
    <n v="21"/>
    <n v="3"/>
    <n v="5"/>
    <n v="0"/>
    <n v="0"/>
    <n v="2"/>
  </r>
  <r>
    <s v="No"/>
    <s v="Travel_Frequently"/>
    <x v="0"/>
    <s v="Current Employees"/>
    <x v="1"/>
    <x v="0"/>
    <s v="STAFF-85"/>
    <n v="85"/>
    <x v="1"/>
    <x v="3"/>
    <x v="0"/>
    <s v="No"/>
    <s v="Y"/>
    <n v="3"/>
    <n v="-2"/>
    <n v="0"/>
    <n v="36"/>
    <n v="0"/>
    <m/>
    <n v="0"/>
    <n v="1"/>
    <n v="1195"/>
    <n v="11"/>
    <x v="3"/>
    <n v="1"/>
    <n v="2"/>
    <n v="95"/>
    <n v="2"/>
    <n v="2"/>
    <n v="2"/>
    <n v="6499"/>
    <n v="22656"/>
    <n v="1"/>
    <n v="13"/>
    <n v="3"/>
    <n v="3"/>
    <n v="80"/>
    <n v="0"/>
    <n v="6"/>
    <n v="3"/>
    <n v="6"/>
    <n v="5"/>
    <n v="0"/>
    <n v="3"/>
  </r>
  <r>
    <s v="No"/>
    <s v="Travel_Rarely"/>
    <x v="1"/>
    <s v="Current Employees"/>
    <x v="1"/>
    <x v="0"/>
    <s v="STAFF-86"/>
    <n v="86"/>
    <x v="1"/>
    <x v="1"/>
    <x v="2"/>
    <s v="No"/>
    <s v="Y"/>
    <n v="2"/>
    <n v="-2"/>
    <n v="0"/>
    <n v="45"/>
    <n v="0"/>
    <m/>
    <n v="0"/>
    <n v="1"/>
    <n v="1339"/>
    <n v="7"/>
    <x v="3"/>
    <n v="1"/>
    <n v="2"/>
    <n v="59"/>
    <n v="3"/>
    <n v="3"/>
    <n v="2"/>
    <n v="9724"/>
    <n v="18787"/>
    <n v="2"/>
    <n v="17"/>
    <n v="3"/>
    <n v="3"/>
    <n v="80"/>
    <n v="1"/>
    <n v="25"/>
    <n v="3"/>
    <n v="1"/>
    <n v="0"/>
    <n v="0"/>
    <n v="0"/>
  </r>
  <r>
    <s v="No"/>
    <s v="Travel_Frequently"/>
    <x v="0"/>
    <s v="Current Employees"/>
    <x v="1"/>
    <x v="2"/>
    <s v="STAFF-88"/>
    <n v="88"/>
    <x v="1"/>
    <x v="1"/>
    <x v="1"/>
    <s v="No"/>
    <s v="Y"/>
    <n v="2"/>
    <n v="-2"/>
    <n v="0"/>
    <n v="35"/>
    <n v="0"/>
    <m/>
    <n v="0"/>
    <n v="1"/>
    <n v="664"/>
    <n v="1"/>
    <x v="3"/>
    <n v="1"/>
    <n v="2"/>
    <n v="79"/>
    <n v="3"/>
    <n v="1"/>
    <n v="4"/>
    <n v="2194"/>
    <n v="5868"/>
    <n v="4"/>
    <n v="13"/>
    <n v="3"/>
    <n v="4"/>
    <n v="80"/>
    <n v="1"/>
    <n v="5"/>
    <n v="2"/>
    <n v="3"/>
    <n v="2"/>
    <n v="1"/>
    <n v="2"/>
  </r>
  <r>
    <s v="Yes"/>
    <s v="Travel_Rarely"/>
    <x v="0"/>
    <s v="Ex-Employees"/>
    <x v="1"/>
    <x v="2"/>
    <s v="STAFF-90"/>
    <n v="90"/>
    <x v="1"/>
    <x v="1"/>
    <x v="1"/>
    <s v="Yes"/>
    <s v="Y"/>
    <n v="0"/>
    <n v="-2"/>
    <n v="0"/>
    <n v="36"/>
    <n v="1"/>
    <n v="1"/>
    <n v="1"/>
    <n v="0"/>
    <n v="318"/>
    <n v="9"/>
    <x v="3"/>
    <n v="1"/>
    <n v="4"/>
    <n v="79"/>
    <n v="2"/>
    <n v="1"/>
    <n v="3"/>
    <n v="3388"/>
    <n v="21777"/>
    <n v="0"/>
    <n v="17"/>
    <n v="3"/>
    <n v="1"/>
    <n v="80"/>
    <n v="1"/>
    <n v="2"/>
    <n v="2"/>
    <n v="1"/>
    <n v="0"/>
    <n v="0"/>
    <n v="0"/>
  </r>
  <r>
    <s v="No"/>
    <s v="Travel_Frequently"/>
    <x v="3"/>
    <s v="Current Employees"/>
    <x v="0"/>
    <x v="0"/>
    <s v="STAFF-91"/>
    <n v="91"/>
    <x v="0"/>
    <x v="0"/>
    <x v="0"/>
    <s v="No"/>
    <s v="Y"/>
    <n v="2"/>
    <n v="-2"/>
    <n v="0"/>
    <n v="59"/>
    <n v="0"/>
    <m/>
    <n v="0"/>
    <n v="1"/>
    <n v="1225"/>
    <n v="1"/>
    <x v="1"/>
    <n v="1"/>
    <n v="1"/>
    <n v="57"/>
    <n v="2"/>
    <n v="2"/>
    <n v="2"/>
    <n v="5473"/>
    <n v="24668"/>
    <n v="7"/>
    <n v="11"/>
    <n v="3"/>
    <n v="4"/>
    <n v="80"/>
    <n v="0"/>
    <n v="20"/>
    <n v="2"/>
    <n v="4"/>
    <n v="3"/>
    <n v="1"/>
    <n v="3"/>
  </r>
  <r>
    <s v="No"/>
    <s v="Travel_Rarely"/>
    <x v="2"/>
    <s v="Current Employees"/>
    <x v="1"/>
    <x v="0"/>
    <s v="STAFF-94"/>
    <n v="94"/>
    <x v="1"/>
    <x v="1"/>
    <x v="1"/>
    <s v="No"/>
    <s v="Y"/>
    <n v="3"/>
    <n v="-2"/>
    <n v="0"/>
    <n v="29"/>
    <n v="0"/>
    <m/>
    <n v="0"/>
    <n v="1"/>
    <n v="1328"/>
    <n v="2"/>
    <x v="3"/>
    <n v="1"/>
    <n v="3"/>
    <n v="76"/>
    <n v="3"/>
    <n v="1"/>
    <n v="2"/>
    <n v="2703"/>
    <n v="4956"/>
    <n v="0"/>
    <n v="23"/>
    <n v="4"/>
    <n v="4"/>
    <n v="80"/>
    <n v="1"/>
    <n v="6"/>
    <n v="3"/>
    <n v="5"/>
    <n v="4"/>
    <n v="0"/>
    <n v="4"/>
  </r>
  <r>
    <s v="No"/>
    <s v="Travel_Rarely"/>
    <x v="2"/>
    <s v="Current Employees"/>
    <x v="1"/>
    <x v="2"/>
    <s v="STAFF-95"/>
    <n v="95"/>
    <x v="1"/>
    <x v="1"/>
    <x v="0"/>
    <s v="No"/>
    <s v="Y"/>
    <n v="4"/>
    <n v="-2"/>
    <n v="0"/>
    <n v="31"/>
    <n v="0"/>
    <m/>
    <n v="0"/>
    <n v="1"/>
    <n v="1082"/>
    <n v="1"/>
    <x v="2"/>
    <n v="1"/>
    <n v="3"/>
    <n v="87"/>
    <n v="3"/>
    <n v="1"/>
    <n v="3"/>
    <n v="2501"/>
    <n v="18775"/>
    <n v="1"/>
    <n v="17"/>
    <n v="3"/>
    <n v="2"/>
    <n v="80"/>
    <n v="0"/>
    <n v="1"/>
    <n v="3"/>
    <n v="1"/>
    <n v="1"/>
    <n v="1"/>
    <n v="0"/>
  </r>
  <r>
    <s v="No"/>
    <s v="Travel_Rarely"/>
    <x v="2"/>
    <s v="Current Employees"/>
    <x v="1"/>
    <x v="0"/>
    <s v="STAFF-96"/>
    <n v="96"/>
    <x v="1"/>
    <x v="1"/>
    <x v="1"/>
    <s v="No"/>
    <s v="Y"/>
    <n v="3"/>
    <n v="-2"/>
    <n v="0"/>
    <n v="32"/>
    <n v="0"/>
    <m/>
    <n v="0"/>
    <n v="1"/>
    <n v="548"/>
    <n v="1"/>
    <x v="3"/>
    <n v="1"/>
    <n v="2"/>
    <n v="66"/>
    <n v="3"/>
    <n v="2"/>
    <n v="2"/>
    <n v="6220"/>
    <n v="7346"/>
    <n v="1"/>
    <n v="17"/>
    <n v="3"/>
    <n v="2"/>
    <n v="80"/>
    <n v="2"/>
    <n v="10"/>
    <n v="3"/>
    <n v="10"/>
    <n v="4"/>
    <n v="0"/>
    <n v="9"/>
  </r>
  <r>
    <s v="No"/>
    <s v="Travel_Rarely"/>
    <x v="0"/>
    <s v="Current Employees"/>
    <x v="1"/>
    <x v="0"/>
    <s v="STAFF-97"/>
    <n v="97"/>
    <x v="0"/>
    <x v="2"/>
    <x v="1"/>
    <s v="No"/>
    <s v="Y"/>
    <n v="3"/>
    <n v="-2"/>
    <n v="0"/>
    <n v="36"/>
    <n v="0"/>
    <m/>
    <n v="0"/>
    <n v="1"/>
    <n v="132"/>
    <n v="6"/>
    <x v="3"/>
    <n v="1"/>
    <n v="2"/>
    <n v="55"/>
    <n v="4"/>
    <n v="1"/>
    <n v="2"/>
    <n v="3038"/>
    <n v="22002"/>
    <n v="3"/>
    <n v="12"/>
    <n v="3"/>
    <n v="2"/>
    <n v="80"/>
    <n v="0"/>
    <n v="5"/>
    <n v="3"/>
    <n v="1"/>
    <n v="0"/>
    <n v="0"/>
    <n v="0"/>
  </r>
  <r>
    <s v="No"/>
    <s v="Travel_Rarely"/>
    <x v="2"/>
    <s v="Current Employees"/>
    <x v="1"/>
    <x v="0"/>
    <s v="STAFF-98"/>
    <n v="98"/>
    <x v="0"/>
    <x v="3"/>
    <x v="0"/>
    <s v="No"/>
    <s v="Y"/>
    <n v="2"/>
    <n v="-2"/>
    <n v="0"/>
    <n v="31"/>
    <n v="0"/>
    <m/>
    <n v="0"/>
    <n v="1"/>
    <n v="746"/>
    <n v="8"/>
    <x v="2"/>
    <n v="1"/>
    <n v="3"/>
    <n v="61"/>
    <n v="3"/>
    <n v="2"/>
    <n v="2"/>
    <n v="4424"/>
    <n v="20682"/>
    <n v="1"/>
    <n v="23"/>
    <n v="4"/>
    <n v="4"/>
    <n v="80"/>
    <n v="0"/>
    <n v="11"/>
    <n v="3"/>
    <n v="11"/>
    <n v="7"/>
    <n v="1"/>
    <n v="8"/>
  </r>
  <r>
    <s v="No"/>
    <s v="Travel_Rarely"/>
    <x v="0"/>
    <s v="Current Employees"/>
    <x v="0"/>
    <x v="3"/>
    <s v="STAFF-100"/>
    <n v="100"/>
    <x v="1"/>
    <x v="0"/>
    <x v="0"/>
    <s v="No"/>
    <s v="Y"/>
    <n v="2"/>
    <n v="-2"/>
    <n v="0"/>
    <n v="35"/>
    <n v="0"/>
    <m/>
    <n v="0"/>
    <n v="1"/>
    <n v="776"/>
    <n v="1"/>
    <x v="2"/>
    <n v="1"/>
    <n v="3"/>
    <n v="32"/>
    <n v="2"/>
    <n v="2"/>
    <n v="4"/>
    <n v="4312"/>
    <n v="23016"/>
    <n v="0"/>
    <n v="14"/>
    <n v="3"/>
    <n v="2"/>
    <n v="80"/>
    <n v="0"/>
    <n v="16"/>
    <n v="3"/>
    <n v="15"/>
    <n v="13"/>
    <n v="2"/>
    <n v="8"/>
  </r>
  <r>
    <s v="No"/>
    <s v="Travel_Rarely"/>
    <x v="1"/>
    <s v="Current Employees"/>
    <x v="1"/>
    <x v="1"/>
    <s v="STAFF-101"/>
    <n v="101"/>
    <x v="1"/>
    <x v="7"/>
    <x v="1"/>
    <s v="Yes"/>
    <s v="Y"/>
    <n v="3"/>
    <n v="-2"/>
    <n v="0"/>
    <n v="45"/>
    <n v="0"/>
    <m/>
    <n v="0"/>
    <n v="1"/>
    <n v="193"/>
    <n v="6"/>
    <x v="2"/>
    <n v="1"/>
    <n v="4"/>
    <n v="52"/>
    <n v="3"/>
    <n v="3"/>
    <n v="4"/>
    <n v="13245"/>
    <n v="15067"/>
    <n v="4"/>
    <n v="14"/>
    <n v="3"/>
    <n v="2"/>
    <n v="80"/>
    <n v="0"/>
    <n v="17"/>
    <n v="4"/>
    <n v="0"/>
    <n v="0"/>
    <n v="0"/>
    <n v="0"/>
  </r>
  <r>
    <s v="No"/>
    <s v="Travel_Rarely"/>
    <x v="0"/>
    <s v="Current Employees"/>
    <x v="1"/>
    <x v="2"/>
    <s v="STAFF-102"/>
    <n v="102"/>
    <x v="1"/>
    <x v="7"/>
    <x v="0"/>
    <s v="No"/>
    <s v="Y"/>
    <n v="3"/>
    <n v="-2"/>
    <n v="0"/>
    <n v="37"/>
    <n v="0"/>
    <m/>
    <n v="0"/>
    <n v="1"/>
    <n v="397"/>
    <n v="7"/>
    <x v="2"/>
    <n v="1"/>
    <n v="1"/>
    <n v="30"/>
    <n v="3"/>
    <n v="3"/>
    <n v="3"/>
    <n v="13664"/>
    <n v="25258"/>
    <n v="4"/>
    <n v="13"/>
    <n v="3"/>
    <n v="1"/>
    <n v="80"/>
    <n v="0"/>
    <n v="16"/>
    <n v="4"/>
    <n v="5"/>
    <n v="2"/>
    <n v="0"/>
    <n v="2"/>
  </r>
  <r>
    <s v="No"/>
    <s v="Travel_Rarely"/>
    <x v="1"/>
    <s v="Current Employees"/>
    <x v="2"/>
    <x v="2"/>
    <s v="STAFF-103"/>
    <n v="103"/>
    <x v="1"/>
    <x v="8"/>
    <x v="2"/>
    <s v="Yes"/>
    <s v="Y"/>
    <n v="2"/>
    <n v="-2"/>
    <n v="0"/>
    <n v="46"/>
    <n v="0"/>
    <m/>
    <n v="0"/>
    <n v="1"/>
    <n v="945"/>
    <n v="5"/>
    <x v="0"/>
    <n v="1"/>
    <n v="2"/>
    <n v="80"/>
    <n v="3"/>
    <n v="2"/>
    <n v="3"/>
    <n v="5021"/>
    <n v="10425"/>
    <n v="8"/>
    <n v="22"/>
    <n v="4"/>
    <n v="4"/>
    <n v="80"/>
    <n v="1"/>
    <n v="16"/>
    <n v="3"/>
    <n v="4"/>
    <n v="2"/>
    <n v="0"/>
    <n v="2"/>
  </r>
  <r>
    <s v="No"/>
    <s v="Travel_Rarely"/>
    <x v="2"/>
    <s v="Current Employees"/>
    <x v="1"/>
    <x v="0"/>
    <s v="STAFF-104"/>
    <n v="104"/>
    <x v="1"/>
    <x v="2"/>
    <x v="1"/>
    <s v="Yes"/>
    <s v="Y"/>
    <n v="1"/>
    <n v="-2"/>
    <n v="0"/>
    <n v="30"/>
    <n v="0"/>
    <m/>
    <n v="0"/>
    <n v="1"/>
    <n v="852"/>
    <n v="1"/>
    <x v="1"/>
    <n v="1"/>
    <n v="4"/>
    <n v="55"/>
    <n v="2"/>
    <n v="2"/>
    <n v="2"/>
    <n v="5126"/>
    <n v="15998"/>
    <n v="1"/>
    <n v="12"/>
    <n v="3"/>
    <n v="3"/>
    <n v="80"/>
    <n v="2"/>
    <n v="10"/>
    <n v="2"/>
    <n v="10"/>
    <n v="8"/>
    <n v="3"/>
    <n v="0"/>
  </r>
  <r>
    <s v="No"/>
    <s v="Travel_Rarely"/>
    <x v="0"/>
    <s v="Current Employees"/>
    <x v="1"/>
    <x v="2"/>
    <s v="STAFF-105"/>
    <n v="105"/>
    <x v="1"/>
    <x v="1"/>
    <x v="0"/>
    <s v="No"/>
    <s v="Y"/>
    <n v="3"/>
    <n v="-2"/>
    <n v="0"/>
    <n v="35"/>
    <n v="0"/>
    <m/>
    <n v="0"/>
    <n v="1"/>
    <n v="1214"/>
    <n v="1"/>
    <x v="3"/>
    <n v="1"/>
    <n v="2"/>
    <n v="30"/>
    <n v="2"/>
    <n v="1"/>
    <n v="3"/>
    <n v="2859"/>
    <n v="26278"/>
    <n v="1"/>
    <n v="18"/>
    <n v="3"/>
    <n v="1"/>
    <n v="80"/>
    <n v="0"/>
    <n v="6"/>
    <n v="3"/>
    <n v="6"/>
    <n v="4"/>
    <n v="0"/>
    <n v="4"/>
  </r>
  <r>
    <s v="No"/>
    <s v="Travel_Rarely"/>
    <x v="3"/>
    <s v="Current Employees"/>
    <x v="0"/>
    <x v="0"/>
    <s v="STAFF-106"/>
    <n v="106"/>
    <x v="1"/>
    <x v="0"/>
    <x v="1"/>
    <s v="No"/>
    <s v="Y"/>
    <n v="4"/>
    <n v="-2"/>
    <n v="0"/>
    <n v="55"/>
    <n v="0"/>
    <m/>
    <n v="0"/>
    <n v="1"/>
    <n v="111"/>
    <n v="1"/>
    <x v="0"/>
    <n v="1"/>
    <n v="1"/>
    <n v="70"/>
    <n v="3"/>
    <n v="3"/>
    <n v="2"/>
    <n v="10239"/>
    <n v="18092"/>
    <n v="3"/>
    <n v="14"/>
    <n v="3"/>
    <n v="4"/>
    <n v="80"/>
    <n v="1"/>
    <n v="24"/>
    <n v="3"/>
    <n v="1"/>
    <n v="0"/>
    <n v="1"/>
    <n v="0"/>
  </r>
  <r>
    <s v="No"/>
    <s v="Non-Travel"/>
    <x v="0"/>
    <s v="Current Employees"/>
    <x v="1"/>
    <x v="2"/>
    <s v="STAFF-107"/>
    <n v="107"/>
    <x v="0"/>
    <x v="1"/>
    <x v="2"/>
    <s v="Yes"/>
    <s v="Y"/>
    <n v="3"/>
    <n v="-2"/>
    <n v="0"/>
    <n v="38"/>
    <n v="0"/>
    <m/>
    <n v="0"/>
    <n v="1"/>
    <n v="573"/>
    <n v="6"/>
    <x v="3"/>
    <n v="1"/>
    <n v="2"/>
    <n v="79"/>
    <n v="1"/>
    <n v="2"/>
    <n v="4"/>
    <n v="5329"/>
    <n v="15717"/>
    <n v="7"/>
    <n v="12"/>
    <n v="3"/>
    <n v="4"/>
    <n v="80"/>
    <n v="3"/>
    <n v="17"/>
    <n v="3"/>
    <n v="13"/>
    <n v="11"/>
    <n v="1"/>
    <n v="9"/>
  </r>
  <r>
    <s v="No"/>
    <s v="Travel_Rarely"/>
    <x v="2"/>
    <s v="Current Employees"/>
    <x v="1"/>
    <x v="2"/>
    <s v="STAFF-110"/>
    <n v="110"/>
    <x v="1"/>
    <x v="3"/>
    <x v="1"/>
    <s v="No"/>
    <s v="Y"/>
    <n v="2"/>
    <n v="-2"/>
    <n v="0"/>
    <n v="34"/>
    <n v="0"/>
    <m/>
    <n v="0"/>
    <n v="1"/>
    <n v="1153"/>
    <n v="1"/>
    <x v="0"/>
    <n v="1"/>
    <n v="1"/>
    <n v="94"/>
    <n v="3"/>
    <n v="2"/>
    <n v="3"/>
    <n v="4325"/>
    <n v="17736"/>
    <n v="1"/>
    <n v="15"/>
    <n v="3"/>
    <n v="3"/>
    <n v="80"/>
    <n v="0"/>
    <n v="5"/>
    <n v="3"/>
    <n v="5"/>
    <n v="2"/>
    <n v="1"/>
    <n v="3"/>
  </r>
  <r>
    <s v="No"/>
    <s v="Travel_Rarely"/>
    <x v="3"/>
    <s v="Current Employees"/>
    <x v="1"/>
    <x v="0"/>
    <s v="STAFF-112"/>
    <n v="112"/>
    <x v="1"/>
    <x v="3"/>
    <x v="0"/>
    <s v="No"/>
    <s v="Y"/>
    <n v="3"/>
    <n v="-2"/>
    <n v="0"/>
    <n v="56"/>
    <n v="0"/>
    <m/>
    <n v="0"/>
    <n v="1"/>
    <n v="1400"/>
    <n v="7"/>
    <x v="3"/>
    <n v="1"/>
    <n v="4"/>
    <n v="49"/>
    <n v="1"/>
    <n v="3"/>
    <n v="2"/>
    <n v="7260"/>
    <n v="21698"/>
    <n v="4"/>
    <n v="11"/>
    <n v="3"/>
    <n v="1"/>
    <n v="80"/>
    <n v="0"/>
    <n v="37"/>
    <n v="2"/>
    <n v="6"/>
    <n v="4"/>
    <n v="0"/>
    <n v="2"/>
  </r>
  <r>
    <s v="No"/>
    <s v="Travel_Rarely"/>
    <x v="4"/>
    <s v="Current Employees"/>
    <x v="0"/>
    <x v="4"/>
    <s v="STAFF-113"/>
    <n v="113"/>
    <x v="1"/>
    <x v="6"/>
    <x v="2"/>
    <s v="No"/>
    <s v="Y"/>
    <n v="3"/>
    <n v="-2"/>
    <n v="0"/>
    <n v="23"/>
    <n v="0"/>
    <m/>
    <n v="0"/>
    <n v="1"/>
    <n v="541"/>
    <n v="2"/>
    <x v="1"/>
    <n v="1"/>
    <n v="3"/>
    <n v="62"/>
    <n v="3"/>
    <n v="1"/>
    <n v="4"/>
    <n v="2322"/>
    <n v="9518"/>
    <n v="3"/>
    <n v="13"/>
    <n v="3"/>
    <n v="3"/>
    <n v="80"/>
    <n v="1"/>
    <n v="3"/>
    <n v="3"/>
    <n v="0"/>
    <n v="0"/>
    <n v="0"/>
    <n v="0"/>
  </r>
  <r>
    <s v="No"/>
    <s v="Travel_Rarely"/>
    <x v="1"/>
    <s v="Current Employees"/>
    <x v="1"/>
    <x v="0"/>
    <s v="STAFF-116"/>
    <n v="116"/>
    <x v="1"/>
    <x v="2"/>
    <x v="1"/>
    <s v="No"/>
    <s v="Y"/>
    <n v="4"/>
    <n v="-2"/>
    <n v="0"/>
    <n v="51"/>
    <n v="0"/>
    <m/>
    <n v="0"/>
    <n v="1"/>
    <n v="432"/>
    <n v="9"/>
    <x v="2"/>
    <n v="1"/>
    <n v="4"/>
    <n v="96"/>
    <n v="3"/>
    <n v="1"/>
    <n v="2"/>
    <n v="2075"/>
    <n v="18725"/>
    <n v="3"/>
    <n v="23"/>
    <n v="4"/>
    <n v="2"/>
    <n v="80"/>
    <n v="2"/>
    <n v="10"/>
    <n v="3"/>
    <n v="4"/>
    <n v="2"/>
    <n v="0"/>
    <n v="3"/>
  </r>
  <r>
    <s v="No"/>
    <s v="Travel_Rarely"/>
    <x v="2"/>
    <s v="Current Employees"/>
    <x v="1"/>
    <x v="0"/>
    <s v="STAFF-117"/>
    <n v="117"/>
    <x v="1"/>
    <x v="4"/>
    <x v="1"/>
    <s v="No"/>
    <s v="Y"/>
    <n v="3"/>
    <n v="-2"/>
    <n v="0"/>
    <n v="30"/>
    <n v="0"/>
    <m/>
    <n v="0"/>
    <n v="1"/>
    <n v="288"/>
    <n v="2"/>
    <x v="3"/>
    <n v="1"/>
    <n v="3"/>
    <n v="99"/>
    <n v="2"/>
    <n v="2"/>
    <n v="2"/>
    <n v="4152"/>
    <n v="15830"/>
    <n v="1"/>
    <n v="19"/>
    <n v="3"/>
    <n v="1"/>
    <n v="80"/>
    <n v="3"/>
    <n v="11"/>
    <n v="3"/>
    <n v="11"/>
    <n v="10"/>
    <n v="10"/>
    <n v="8"/>
  </r>
  <r>
    <s v="Yes"/>
    <s v="Travel_Rarely"/>
    <x v="1"/>
    <s v="Ex-Employees"/>
    <x v="0"/>
    <x v="2"/>
    <s v="STAFF-118"/>
    <n v="118"/>
    <x v="1"/>
    <x v="0"/>
    <x v="0"/>
    <s v="No"/>
    <s v="Y"/>
    <n v="3"/>
    <n v="-2"/>
    <n v="0"/>
    <n v="46"/>
    <n v="1"/>
    <n v="1"/>
    <n v="1"/>
    <n v="0"/>
    <n v="669"/>
    <n v="9"/>
    <x v="0"/>
    <n v="1"/>
    <n v="3"/>
    <n v="64"/>
    <n v="2"/>
    <n v="3"/>
    <n v="4"/>
    <n v="9619"/>
    <n v="13596"/>
    <n v="1"/>
    <n v="16"/>
    <n v="3"/>
    <n v="4"/>
    <n v="80"/>
    <n v="0"/>
    <n v="9"/>
    <n v="3"/>
    <n v="9"/>
    <n v="8"/>
    <n v="4"/>
    <n v="7"/>
  </r>
  <r>
    <s v="No"/>
    <s v="Travel_Frequently"/>
    <x v="0"/>
    <s v="Current Employees"/>
    <x v="1"/>
    <x v="0"/>
    <s v="STAFF-119"/>
    <n v="119"/>
    <x v="1"/>
    <x v="4"/>
    <x v="1"/>
    <s v="No"/>
    <s v="Y"/>
    <n v="3"/>
    <n v="-2"/>
    <n v="0"/>
    <n v="40"/>
    <n v="0"/>
    <m/>
    <n v="0"/>
    <n v="1"/>
    <n v="530"/>
    <n v="1"/>
    <x v="2"/>
    <n v="1"/>
    <n v="3"/>
    <n v="78"/>
    <n v="2"/>
    <n v="4"/>
    <n v="2"/>
    <n v="13503"/>
    <n v="14115"/>
    <n v="1"/>
    <n v="22"/>
    <n v="4"/>
    <n v="4"/>
    <n v="80"/>
    <n v="1"/>
    <n v="22"/>
    <n v="2"/>
    <n v="22"/>
    <n v="3"/>
    <n v="11"/>
    <n v="11"/>
  </r>
  <r>
    <s v="No"/>
    <s v="Travel_Rarely"/>
    <x v="1"/>
    <s v="Current Employees"/>
    <x v="0"/>
    <x v="3"/>
    <s v="STAFF-120"/>
    <n v="120"/>
    <x v="1"/>
    <x v="0"/>
    <x v="0"/>
    <s v="Yes"/>
    <s v="Y"/>
    <n v="2"/>
    <n v="-2"/>
    <n v="0"/>
    <n v="51"/>
    <n v="0"/>
    <m/>
    <n v="0"/>
    <n v="1"/>
    <n v="632"/>
    <n v="21"/>
    <x v="2"/>
    <n v="1"/>
    <n v="3"/>
    <n v="71"/>
    <n v="3"/>
    <n v="2"/>
    <n v="4"/>
    <n v="5441"/>
    <n v="8423"/>
    <n v="0"/>
    <n v="22"/>
    <n v="4"/>
    <n v="4"/>
    <n v="80"/>
    <n v="0"/>
    <n v="11"/>
    <n v="1"/>
    <n v="10"/>
    <n v="7"/>
    <n v="1"/>
    <n v="0"/>
  </r>
  <r>
    <s v="No"/>
    <s v="Travel_Rarely"/>
    <x v="2"/>
    <s v="Current Employees"/>
    <x v="0"/>
    <x v="2"/>
    <s v="STAFF-121"/>
    <n v="121"/>
    <x v="0"/>
    <x v="0"/>
    <x v="2"/>
    <s v="Yes"/>
    <s v="Y"/>
    <n v="4"/>
    <n v="-2"/>
    <n v="0"/>
    <n v="30"/>
    <n v="0"/>
    <m/>
    <n v="0"/>
    <n v="1"/>
    <n v="1334"/>
    <n v="4"/>
    <x v="0"/>
    <n v="1"/>
    <n v="3"/>
    <n v="63"/>
    <n v="2"/>
    <n v="2"/>
    <n v="3"/>
    <n v="5209"/>
    <n v="19760"/>
    <n v="1"/>
    <n v="12"/>
    <n v="3"/>
    <n v="2"/>
    <n v="80"/>
    <n v="3"/>
    <n v="11"/>
    <n v="2"/>
    <n v="11"/>
    <n v="8"/>
    <n v="2"/>
    <n v="7"/>
  </r>
  <r>
    <s v="No"/>
    <s v="Travel_Frequently"/>
    <x v="1"/>
    <s v="Current Employees"/>
    <x v="1"/>
    <x v="2"/>
    <s v="STAFF-124"/>
    <n v="124"/>
    <x v="1"/>
    <x v="4"/>
    <x v="1"/>
    <s v="Yes"/>
    <s v="Y"/>
    <n v="5"/>
    <n v="-2"/>
    <n v="0"/>
    <n v="46"/>
    <n v="0"/>
    <m/>
    <n v="0"/>
    <n v="1"/>
    <n v="638"/>
    <n v="1"/>
    <x v="3"/>
    <n v="1"/>
    <n v="3"/>
    <n v="40"/>
    <n v="2"/>
    <n v="3"/>
    <n v="4"/>
    <n v="10673"/>
    <n v="3142"/>
    <n v="2"/>
    <n v="13"/>
    <n v="3"/>
    <n v="3"/>
    <n v="80"/>
    <n v="1"/>
    <n v="21"/>
    <n v="2"/>
    <n v="10"/>
    <n v="9"/>
    <n v="9"/>
    <n v="5"/>
  </r>
  <r>
    <s v="No"/>
    <s v="Travel_Rarely"/>
    <x v="2"/>
    <s v="Current Employees"/>
    <x v="0"/>
    <x v="2"/>
    <s v="STAFF-125"/>
    <n v="125"/>
    <x v="1"/>
    <x v="0"/>
    <x v="0"/>
    <s v="No"/>
    <s v="Y"/>
    <n v="0"/>
    <n v="-2"/>
    <n v="0"/>
    <n v="32"/>
    <n v="0"/>
    <m/>
    <n v="0"/>
    <n v="1"/>
    <n v="1093"/>
    <n v="6"/>
    <x v="2"/>
    <n v="1"/>
    <n v="2"/>
    <n v="87"/>
    <n v="3"/>
    <n v="2"/>
    <n v="3"/>
    <n v="5010"/>
    <n v="24301"/>
    <n v="1"/>
    <n v="16"/>
    <n v="3"/>
    <n v="1"/>
    <n v="80"/>
    <n v="0"/>
    <n v="12"/>
    <n v="3"/>
    <n v="11"/>
    <n v="8"/>
    <n v="5"/>
    <n v="7"/>
  </r>
  <r>
    <s v="No"/>
    <s v="Travel_Rarely"/>
    <x v="1"/>
    <s v="Current Employees"/>
    <x v="1"/>
    <x v="4"/>
    <s v="STAFF-126"/>
    <n v="126"/>
    <x v="0"/>
    <x v="7"/>
    <x v="1"/>
    <s v="No"/>
    <s v="Y"/>
    <n v="5"/>
    <n v="-2"/>
    <n v="0"/>
    <n v="54"/>
    <n v="0"/>
    <m/>
    <n v="0"/>
    <n v="1"/>
    <n v="1217"/>
    <n v="2"/>
    <x v="2"/>
    <n v="1"/>
    <n v="1"/>
    <n v="60"/>
    <n v="3"/>
    <n v="3"/>
    <n v="3"/>
    <n v="13549"/>
    <n v="24001"/>
    <n v="9"/>
    <n v="12"/>
    <n v="3"/>
    <n v="1"/>
    <n v="80"/>
    <n v="1"/>
    <n v="16"/>
    <n v="1"/>
    <n v="4"/>
    <n v="3"/>
    <n v="0"/>
    <n v="3"/>
  </r>
  <r>
    <s v="No"/>
    <s v="Travel_Rarely"/>
    <x v="4"/>
    <s v="Current Employees"/>
    <x v="0"/>
    <x v="1"/>
    <s v="STAFF-128"/>
    <n v="128"/>
    <x v="0"/>
    <x v="0"/>
    <x v="1"/>
    <s v="No"/>
    <s v="Y"/>
    <n v="2"/>
    <n v="-2"/>
    <n v="0"/>
    <n v="24"/>
    <n v="0"/>
    <m/>
    <n v="0"/>
    <n v="1"/>
    <n v="1353"/>
    <n v="3"/>
    <x v="0"/>
    <n v="1"/>
    <n v="1"/>
    <n v="33"/>
    <n v="3"/>
    <n v="2"/>
    <n v="3"/>
    <n v="4999"/>
    <n v="17519"/>
    <n v="0"/>
    <n v="21"/>
    <n v="4"/>
    <n v="1"/>
    <n v="80"/>
    <n v="1"/>
    <n v="4"/>
    <n v="2"/>
    <n v="3"/>
    <n v="2"/>
    <n v="0"/>
    <n v="2"/>
  </r>
  <r>
    <s v="No"/>
    <s v="Non-Travel"/>
    <x v="2"/>
    <s v="Current Employees"/>
    <x v="0"/>
    <x v="2"/>
    <s v="STAFF-129"/>
    <n v="129"/>
    <x v="1"/>
    <x v="0"/>
    <x v="1"/>
    <s v="No"/>
    <s v="Y"/>
    <n v="3"/>
    <n v="-2"/>
    <n v="0"/>
    <n v="28"/>
    <n v="0"/>
    <m/>
    <n v="0"/>
    <n v="1"/>
    <n v="120"/>
    <n v="4"/>
    <x v="3"/>
    <n v="1"/>
    <n v="2"/>
    <n v="43"/>
    <n v="3"/>
    <n v="2"/>
    <n v="3"/>
    <n v="4221"/>
    <n v="8863"/>
    <n v="1"/>
    <n v="15"/>
    <n v="3"/>
    <n v="2"/>
    <n v="80"/>
    <n v="0"/>
    <n v="5"/>
    <n v="4"/>
    <n v="5"/>
    <n v="4"/>
    <n v="0"/>
    <n v="4"/>
  </r>
  <r>
    <s v="No"/>
    <s v="Travel_Rarely"/>
    <x v="3"/>
    <s v="Current Employees"/>
    <x v="0"/>
    <x v="2"/>
    <s v="STAFF-131"/>
    <n v="131"/>
    <x v="1"/>
    <x v="0"/>
    <x v="0"/>
    <s v="No"/>
    <s v="Y"/>
    <n v="1"/>
    <n v="-2"/>
    <n v="0"/>
    <n v="58"/>
    <n v="0"/>
    <m/>
    <n v="0"/>
    <n v="1"/>
    <n v="682"/>
    <n v="10"/>
    <x v="2"/>
    <n v="1"/>
    <n v="4"/>
    <n v="37"/>
    <n v="3"/>
    <n v="4"/>
    <n v="3"/>
    <n v="13872"/>
    <n v="24409"/>
    <n v="0"/>
    <n v="13"/>
    <n v="3"/>
    <n v="3"/>
    <n v="80"/>
    <n v="0"/>
    <n v="38"/>
    <n v="2"/>
    <n v="37"/>
    <n v="10"/>
    <n v="1"/>
    <n v="8"/>
  </r>
  <r>
    <s v="No"/>
    <s v="Non-Travel"/>
    <x v="0"/>
    <s v="Current Employees"/>
    <x v="1"/>
    <x v="2"/>
    <s v="STAFF-132"/>
    <n v="132"/>
    <x v="1"/>
    <x v="2"/>
    <x v="1"/>
    <s v="No"/>
    <s v="Y"/>
    <n v="3"/>
    <n v="-2"/>
    <n v="0"/>
    <n v="44"/>
    <n v="0"/>
    <m/>
    <n v="0"/>
    <n v="1"/>
    <n v="489"/>
    <n v="23"/>
    <x v="3"/>
    <n v="1"/>
    <n v="2"/>
    <n v="67"/>
    <n v="3"/>
    <n v="2"/>
    <n v="3"/>
    <n v="2042"/>
    <n v="25043"/>
    <n v="4"/>
    <n v="12"/>
    <n v="3"/>
    <n v="3"/>
    <n v="80"/>
    <n v="1"/>
    <n v="17"/>
    <n v="4"/>
    <n v="3"/>
    <n v="2"/>
    <n v="1"/>
    <n v="2"/>
  </r>
  <r>
    <s v="Yes"/>
    <s v="Travel_Rarely"/>
    <x v="0"/>
    <s v="Ex-Employees"/>
    <x v="2"/>
    <x v="5"/>
    <s v="STAFF-133"/>
    <n v="133"/>
    <x v="1"/>
    <x v="8"/>
    <x v="2"/>
    <s v="Yes"/>
    <s v="Y"/>
    <n v="3"/>
    <n v="-2"/>
    <n v="0"/>
    <n v="37"/>
    <n v="1"/>
    <n v="1"/>
    <n v="1"/>
    <n v="0"/>
    <n v="807"/>
    <n v="6"/>
    <x v="2"/>
    <n v="1"/>
    <n v="3"/>
    <n v="63"/>
    <n v="3"/>
    <n v="1"/>
    <n v="4"/>
    <n v="2073"/>
    <n v="23648"/>
    <n v="4"/>
    <n v="22"/>
    <n v="4"/>
    <n v="4"/>
    <n v="80"/>
    <n v="0"/>
    <n v="7"/>
    <n v="3"/>
    <n v="3"/>
    <n v="2"/>
    <n v="0"/>
    <n v="2"/>
  </r>
  <r>
    <s v="No"/>
    <s v="Travel_Rarely"/>
    <x v="2"/>
    <s v="Current Employees"/>
    <x v="1"/>
    <x v="0"/>
    <s v="STAFF-134"/>
    <n v="134"/>
    <x v="1"/>
    <x v="1"/>
    <x v="0"/>
    <s v="No"/>
    <s v="Y"/>
    <n v="2"/>
    <n v="-2"/>
    <n v="0"/>
    <n v="32"/>
    <n v="0"/>
    <m/>
    <n v="0"/>
    <n v="1"/>
    <n v="827"/>
    <n v="1"/>
    <x v="1"/>
    <n v="1"/>
    <n v="4"/>
    <n v="71"/>
    <n v="3"/>
    <n v="1"/>
    <n v="2"/>
    <n v="2956"/>
    <n v="15178"/>
    <n v="1"/>
    <n v="13"/>
    <n v="3"/>
    <n v="4"/>
    <n v="80"/>
    <n v="0"/>
    <n v="1"/>
    <n v="3"/>
    <n v="1"/>
    <n v="0"/>
    <n v="0"/>
    <n v="0"/>
  </r>
  <r>
    <s v="Yes"/>
    <s v="Travel_Frequently"/>
    <x v="4"/>
    <s v="Ex-Employees"/>
    <x v="1"/>
    <x v="0"/>
    <s v="STAFF-137"/>
    <n v="137"/>
    <x v="0"/>
    <x v="2"/>
    <x v="0"/>
    <s v="Yes"/>
    <s v="Y"/>
    <n v="5"/>
    <n v="-2"/>
    <n v="0"/>
    <n v="20"/>
    <n v="1"/>
    <n v="1"/>
    <n v="1"/>
    <n v="0"/>
    <n v="871"/>
    <n v="6"/>
    <x v="3"/>
    <n v="1"/>
    <n v="4"/>
    <n v="66"/>
    <n v="2"/>
    <n v="1"/>
    <n v="2"/>
    <n v="2926"/>
    <n v="19783"/>
    <n v="1"/>
    <n v="18"/>
    <n v="3"/>
    <n v="2"/>
    <n v="80"/>
    <n v="0"/>
    <n v="1"/>
    <n v="3"/>
    <n v="1"/>
    <n v="0"/>
    <n v="1"/>
    <n v="0"/>
  </r>
  <r>
    <s v="No"/>
    <s v="Travel_Rarely"/>
    <x v="2"/>
    <s v="Current Employees"/>
    <x v="1"/>
    <x v="1"/>
    <s v="STAFF-138"/>
    <n v="138"/>
    <x v="0"/>
    <x v="1"/>
    <x v="0"/>
    <s v="No"/>
    <s v="Y"/>
    <n v="3"/>
    <n v="-2"/>
    <n v="0"/>
    <n v="34"/>
    <n v="0"/>
    <m/>
    <n v="0"/>
    <n v="1"/>
    <n v="665"/>
    <n v="6"/>
    <x v="2"/>
    <n v="1"/>
    <n v="1"/>
    <n v="41"/>
    <n v="3"/>
    <n v="2"/>
    <n v="3"/>
    <n v="4809"/>
    <n v="12482"/>
    <n v="1"/>
    <n v="14"/>
    <n v="3"/>
    <n v="3"/>
    <n v="80"/>
    <n v="0"/>
    <n v="16"/>
    <n v="3"/>
    <n v="16"/>
    <n v="13"/>
    <n v="2"/>
    <n v="10"/>
  </r>
  <r>
    <s v="No"/>
    <s v="Non-Travel"/>
    <x v="0"/>
    <s v="Current Employees"/>
    <x v="1"/>
    <x v="0"/>
    <s v="STAFF-139"/>
    <n v="139"/>
    <x v="1"/>
    <x v="4"/>
    <x v="2"/>
    <s v="No"/>
    <s v="Y"/>
    <n v="2"/>
    <n v="-2"/>
    <n v="0"/>
    <n v="37"/>
    <n v="0"/>
    <m/>
    <n v="0"/>
    <n v="1"/>
    <n v="1040"/>
    <n v="2"/>
    <x v="0"/>
    <n v="1"/>
    <n v="3"/>
    <n v="100"/>
    <n v="2"/>
    <n v="2"/>
    <n v="2"/>
    <n v="5163"/>
    <n v="15850"/>
    <n v="5"/>
    <n v="14"/>
    <n v="3"/>
    <n v="4"/>
    <n v="80"/>
    <n v="1"/>
    <n v="17"/>
    <n v="4"/>
    <n v="1"/>
    <n v="0"/>
    <n v="0"/>
    <n v="0"/>
  </r>
  <r>
    <s v="No"/>
    <s v="Non-Travel"/>
    <x v="3"/>
    <s v="Current Employees"/>
    <x v="2"/>
    <x v="5"/>
    <s v="STAFF-140"/>
    <n v="140"/>
    <x v="0"/>
    <x v="5"/>
    <x v="1"/>
    <s v="No"/>
    <s v="Y"/>
    <n v="3"/>
    <n v="-2"/>
    <n v="0"/>
    <n v="59"/>
    <n v="0"/>
    <m/>
    <n v="0"/>
    <n v="1"/>
    <n v="1420"/>
    <n v="2"/>
    <x v="2"/>
    <n v="1"/>
    <n v="3"/>
    <n v="32"/>
    <n v="2"/>
    <n v="5"/>
    <n v="4"/>
    <n v="18844"/>
    <n v="21922"/>
    <n v="9"/>
    <n v="21"/>
    <n v="4"/>
    <n v="4"/>
    <n v="80"/>
    <n v="1"/>
    <n v="30"/>
    <n v="3"/>
    <n v="3"/>
    <n v="2"/>
    <n v="2"/>
    <n v="2"/>
  </r>
  <r>
    <s v="No"/>
    <s v="Travel_Frequently"/>
    <x v="1"/>
    <s v="Current Employees"/>
    <x v="1"/>
    <x v="0"/>
    <s v="STAFF-141"/>
    <n v="141"/>
    <x v="0"/>
    <x v="7"/>
    <x v="1"/>
    <s v="Yes"/>
    <s v="Y"/>
    <n v="1"/>
    <n v="-2"/>
    <n v="0"/>
    <n v="50"/>
    <n v="0"/>
    <m/>
    <n v="0"/>
    <n v="1"/>
    <n v="1115"/>
    <n v="1"/>
    <x v="3"/>
    <n v="1"/>
    <n v="1"/>
    <n v="73"/>
    <n v="3"/>
    <n v="5"/>
    <n v="2"/>
    <n v="18172"/>
    <n v="9755"/>
    <n v="3"/>
    <n v="19"/>
    <n v="3"/>
    <n v="1"/>
    <n v="80"/>
    <n v="0"/>
    <n v="28"/>
    <n v="2"/>
    <n v="8"/>
    <n v="3"/>
    <n v="0"/>
    <n v="7"/>
  </r>
  <r>
    <s v="Yes"/>
    <s v="Travel_Rarely"/>
    <x v="2"/>
    <s v="Ex-Employees"/>
    <x v="0"/>
    <x v="3"/>
    <s v="STAFF-142"/>
    <n v="142"/>
    <x v="1"/>
    <x v="0"/>
    <x v="0"/>
    <s v="Yes"/>
    <s v="Y"/>
    <n v="1"/>
    <n v="-2"/>
    <n v="0"/>
    <n v="25"/>
    <n v="1"/>
    <n v="1"/>
    <n v="1"/>
    <n v="0"/>
    <n v="240"/>
    <n v="5"/>
    <x v="3"/>
    <n v="1"/>
    <n v="3"/>
    <n v="46"/>
    <n v="2"/>
    <n v="2"/>
    <n v="3"/>
    <n v="5744"/>
    <n v="26959"/>
    <n v="1"/>
    <n v="11"/>
    <n v="3"/>
    <n v="4"/>
    <n v="80"/>
    <n v="0"/>
    <n v="6"/>
    <n v="3"/>
    <n v="6"/>
    <n v="4"/>
    <n v="0"/>
    <n v="3"/>
  </r>
  <r>
    <s v="No"/>
    <s v="Travel_Rarely"/>
    <x v="2"/>
    <s v="Current Employees"/>
    <x v="1"/>
    <x v="2"/>
    <s v="STAFF-143"/>
    <n v="143"/>
    <x v="1"/>
    <x v="1"/>
    <x v="1"/>
    <s v="No"/>
    <s v="Y"/>
    <n v="2"/>
    <n v="-2"/>
    <n v="0"/>
    <n v="25"/>
    <n v="0"/>
    <m/>
    <n v="0"/>
    <n v="1"/>
    <n v="1280"/>
    <n v="7"/>
    <x v="1"/>
    <n v="1"/>
    <n v="4"/>
    <n v="64"/>
    <n v="2"/>
    <n v="1"/>
    <n v="4"/>
    <n v="2889"/>
    <n v="26897"/>
    <n v="1"/>
    <n v="11"/>
    <n v="3"/>
    <n v="3"/>
    <n v="80"/>
    <n v="2"/>
    <n v="2"/>
    <n v="3"/>
    <n v="2"/>
    <n v="2"/>
    <n v="2"/>
    <n v="1"/>
  </r>
  <r>
    <s v="No"/>
    <s v="Travel_Rarely"/>
    <x v="4"/>
    <s v="Current Employees"/>
    <x v="1"/>
    <x v="2"/>
    <s v="STAFF-144"/>
    <n v="144"/>
    <x v="0"/>
    <x v="2"/>
    <x v="0"/>
    <s v="No"/>
    <s v="Y"/>
    <n v="5"/>
    <n v="-2"/>
    <n v="0"/>
    <n v="22"/>
    <n v="0"/>
    <m/>
    <n v="0"/>
    <n v="1"/>
    <n v="534"/>
    <n v="15"/>
    <x v="3"/>
    <n v="1"/>
    <n v="2"/>
    <n v="59"/>
    <n v="3"/>
    <n v="1"/>
    <n v="4"/>
    <n v="2871"/>
    <n v="23785"/>
    <n v="1"/>
    <n v="15"/>
    <n v="3"/>
    <n v="3"/>
    <n v="80"/>
    <n v="0"/>
    <n v="1"/>
    <n v="3"/>
    <n v="0"/>
    <n v="0"/>
    <n v="0"/>
    <n v="0"/>
  </r>
  <r>
    <s v="No"/>
    <s v="Travel_Frequently"/>
    <x v="1"/>
    <s v="Current Employees"/>
    <x v="1"/>
    <x v="2"/>
    <s v="STAFF-145"/>
    <n v="145"/>
    <x v="0"/>
    <x v="4"/>
    <x v="0"/>
    <s v="No"/>
    <s v="Y"/>
    <n v="1"/>
    <n v="-2"/>
    <n v="0"/>
    <n v="51"/>
    <n v="0"/>
    <m/>
    <n v="0"/>
    <n v="1"/>
    <n v="1456"/>
    <n v="1"/>
    <x v="2"/>
    <n v="1"/>
    <n v="1"/>
    <n v="30"/>
    <n v="2"/>
    <n v="3"/>
    <n v="4"/>
    <n v="7484"/>
    <n v="25796"/>
    <n v="3"/>
    <n v="20"/>
    <n v="4"/>
    <n v="3"/>
    <n v="80"/>
    <n v="0"/>
    <n v="23"/>
    <n v="2"/>
    <n v="13"/>
    <n v="12"/>
    <n v="12"/>
    <n v="8"/>
  </r>
  <r>
    <s v="Yes"/>
    <s v="Travel_Frequently"/>
    <x v="2"/>
    <s v="Ex-Employees"/>
    <x v="1"/>
    <x v="0"/>
    <s v="STAFF-147"/>
    <n v="147"/>
    <x v="1"/>
    <x v="2"/>
    <x v="0"/>
    <s v="Yes"/>
    <s v="Y"/>
    <n v="3"/>
    <n v="-2"/>
    <n v="0"/>
    <n v="34"/>
    <n v="1"/>
    <n v="1"/>
    <n v="1"/>
    <n v="0"/>
    <n v="658"/>
    <n v="7"/>
    <x v="3"/>
    <n v="1"/>
    <n v="1"/>
    <n v="66"/>
    <n v="1"/>
    <n v="2"/>
    <n v="2"/>
    <n v="6074"/>
    <n v="22887"/>
    <n v="1"/>
    <n v="24"/>
    <n v="4"/>
    <n v="4"/>
    <n v="80"/>
    <n v="0"/>
    <n v="9"/>
    <n v="3"/>
    <n v="9"/>
    <n v="7"/>
    <n v="0"/>
    <n v="6"/>
  </r>
  <r>
    <s v="No"/>
    <s v="Non-Travel"/>
    <x v="1"/>
    <s v="Current Employees"/>
    <x v="2"/>
    <x v="5"/>
    <s v="STAFF-148"/>
    <n v="148"/>
    <x v="0"/>
    <x v="5"/>
    <x v="0"/>
    <s v="Yes"/>
    <s v="Y"/>
    <n v="3"/>
    <n v="-2"/>
    <n v="0"/>
    <n v="54"/>
    <n v="0"/>
    <m/>
    <n v="0"/>
    <n v="1"/>
    <n v="142"/>
    <n v="26"/>
    <x v="3"/>
    <n v="1"/>
    <n v="4"/>
    <n v="30"/>
    <n v="4"/>
    <n v="4"/>
    <n v="4"/>
    <n v="17328"/>
    <n v="13871"/>
    <n v="2"/>
    <n v="12"/>
    <n v="3"/>
    <n v="3"/>
    <n v="80"/>
    <n v="0"/>
    <n v="23"/>
    <n v="3"/>
    <n v="5"/>
    <n v="3"/>
    <n v="4"/>
    <n v="4"/>
  </r>
  <r>
    <s v="No"/>
    <s v="Travel_Rarely"/>
    <x v="4"/>
    <s v="Current Employees"/>
    <x v="1"/>
    <x v="0"/>
    <s v="STAFF-150"/>
    <n v="150"/>
    <x v="1"/>
    <x v="2"/>
    <x v="1"/>
    <s v="No"/>
    <s v="Y"/>
    <n v="2"/>
    <n v="-2"/>
    <n v="0"/>
    <n v="24"/>
    <n v="0"/>
    <m/>
    <n v="0"/>
    <n v="1"/>
    <n v="1127"/>
    <n v="18"/>
    <x v="1"/>
    <n v="1"/>
    <n v="2"/>
    <n v="52"/>
    <n v="3"/>
    <n v="1"/>
    <n v="2"/>
    <n v="2774"/>
    <n v="13257"/>
    <n v="0"/>
    <n v="12"/>
    <n v="3"/>
    <n v="3"/>
    <n v="80"/>
    <n v="1"/>
    <n v="6"/>
    <n v="3"/>
    <n v="5"/>
    <n v="3"/>
    <n v="1"/>
    <n v="2"/>
  </r>
  <r>
    <s v="No"/>
    <s v="Travel_Rarely"/>
    <x v="2"/>
    <s v="Current Employees"/>
    <x v="1"/>
    <x v="0"/>
    <s v="STAFF-151"/>
    <n v="151"/>
    <x v="0"/>
    <x v="1"/>
    <x v="2"/>
    <s v="No"/>
    <s v="Y"/>
    <n v="3"/>
    <n v="-2"/>
    <n v="0"/>
    <n v="34"/>
    <n v="0"/>
    <m/>
    <n v="0"/>
    <n v="1"/>
    <n v="1031"/>
    <n v="6"/>
    <x v="2"/>
    <n v="1"/>
    <n v="3"/>
    <n v="45"/>
    <n v="2"/>
    <n v="2"/>
    <n v="2"/>
    <n v="4505"/>
    <n v="15000"/>
    <n v="6"/>
    <n v="15"/>
    <n v="3"/>
    <n v="3"/>
    <n v="80"/>
    <n v="1"/>
    <n v="12"/>
    <n v="3"/>
    <n v="1"/>
    <n v="0"/>
    <n v="0"/>
    <n v="0"/>
  </r>
  <r>
    <s v="No"/>
    <s v="Travel_Rarely"/>
    <x v="0"/>
    <s v="Current Employees"/>
    <x v="0"/>
    <x v="0"/>
    <s v="STAFF-152"/>
    <n v="152"/>
    <x v="1"/>
    <x v="0"/>
    <x v="0"/>
    <s v="No"/>
    <s v="Y"/>
    <n v="3"/>
    <n v="-2"/>
    <n v="0"/>
    <n v="37"/>
    <n v="0"/>
    <m/>
    <n v="0"/>
    <n v="1"/>
    <n v="1189"/>
    <n v="3"/>
    <x v="3"/>
    <n v="1"/>
    <n v="3"/>
    <n v="87"/>
    <n v="3"/>
    <n v="3"/>
    <n v="2"/>
    <n v="7428"/>
    <n v="14506"/>
    <n v="2"/>
    <n v="12"/>
    <n v="3"/>
    <n v="1"/>
    <n v="80"/>
    <n v="0"/>
    <n v="12"/>
    <n v="3"/>
    <n v="5"/>
    <n v="3"/>
    <n v="1"/>
    <n v="3"/>
  </r>
  <r>
    <s v="No"/>
    <s v="Travel_Rarely"/>
    <x v="2"/>
    <s v="Current Employees"/>
    <x v="1"/>
    <x v="2"/>
    <s v="STAFF-153"/>
    <n v="153"/>
    <x v="0"/>
    <x v="5"/>
    <x v="0"/>
    <s v="No"/>
    <s v="Y"/>
    <n v="6"/>
    <n v="-2"/>
    <n v="0"/>
    <n v="34"/>
    <n v="0"/>
    <m/>
    <n v="0"/>
    <n v="1"/>
    <n v="1354"/>
    <n v="5"/>
    <x v="3"/>
    <n v="1"/>
    <n v="3"/>
    <n v="45"/>
    <n v="2"/>
    <n v="3"/>
    <n v="4"/>
    <n v="11631"/>
    <n v="5615"/>
    <n v="2"/>
    <n v="12"/>
    <n v="3"/>
    <n v="4"/>
    <n v="80"/>
    <n v="0"/>
    <n v="14"/>
    <n v="3"/>
    <n v="11"/>
    <n v="10"/>
    <n v="5"/>
    <n v="8"/>
  </r>
  <r>
    <s v="No"/>
    <s v="Travel_Frequently"/>
    <x v="0"/>
    <s v="Current Employees"/>
    <x v="0"/>
    <x v="4"/>
    <s v="STAFF-154"/>
    <n v="154"/>
    <x v="0"/>
    <x v="0"/>
    <x v="1"/>
    <s v="No"/>
    <s v="Y"/>
    <n v="6"/>
    <n v="-2"/>
    <n v="0"/>
    <n v="36"/>
    <n v="0"/>
    <m/>
    <n v="0"/>
    <n v="1"/>
    <n v="1467"/>
    <n v="11"/>
    <x v="0"/>
    <n v="1"/>
    <n v="2"/>
    <n v="92"/>
    <n v="3"/>
    <n v="3"/>
    <n v="4"/>
    <n v="9738"/>
    <n v="22952"/>
    <n v="0"/>
    <n v="14"/>
    <n v="3"/>
    <n v="3"/>
    <n v="80"/>
    <n v="1"/>
    <n v="10"/>
    <n v="3"/>
    <n v="9"/>
    <n v="7"/>
    <n v="2"/>
    <n v="8"/>
  </r>
  <r>
    <s v="No"/>
    <s v="Travel_Rarely"/>
    <x v="0"/>
    <s v="Current Employees"/>
    <x v="1"/>
    <x v="0"/>
    <s v="STAFF-155"/>
    <n v="155"/>
    <x v="0"/>
    <x v="2"/>
    <x v="2"/>
    <s v="No"/>
    <s v="Y"/>
    <n v="2"/>
    <n v="-2"/>
    <n v="0"/>
    <n v="36"/>
    <n v="0"/>
    <m/>
    <n v="0"/>
    <n v="1"/>
    <n v="922"/>
    <n v="3"/>
    <x v="0"/>
    <n v="1"/>
    <n v="1"/>
    <n v="39"/>
    <n v="3"/>
    <n v="1"/>
    <n v="2"/>
    <n v="2835"/>
    <n v="2561"/>
    <n v="5"/>
    <n v="22"/>
    <n v="4"/>
    <n v="1"/>
    <n v="80"/>
    <n v="1"/>
    <n v="7"/>
    <n v="3"/>
    <n v="1"/>
    <n v="0"/>
    <n v="0"/>
    <n v="0"/>
  </r>
  <r>
    <s v="No"/>
    <s v="Travel_Frequently"/>
    <x v="0"/>
    <s v="Current Employees"/>
    <x v="0"/>
    <x v="0"/>
    <s v="STAFF-158"/>
    <n v="158"/>
    <x v="1"/>
    <x v="5"/>
    <x v="1"/>
    <s v="Yes"/>
    <s v="Y"/>
    <n v="3"/>
    <n v="-2"/>
    <n v="0"/>
    <n v="43"/>
    <n v="0"/>
    <m/>
    <n v="0"/>
    <n v="1"/>
    <n v="394"/>
    <n v="26"/>
    <x v="0"/>
    <n v="1"/>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n v="1"/>
    <n v="1"/>
    <n v="96"/>
    <n v="1"/>
    <n v="1"/>
    <n v="2"/>
    <n v="2613"/>
    <n v="22310"/>
    <n v="1"/>
    <n v="25"/>
    <n v="4"/>
    <n v="3"/>
    <n v="80"/>
    <n v="3"/>
    <n v="10"/>
    <n v="2"/>
    <n v="10"/>
    <n v="7"/>
    <n v="0"/>
    <n v="9"/>
  </r>
  <r>
    <s v="No"/>
    <s v="Non-Travel"/>
    <x v="2"/>
    <s v="Current Employees"/>
    <x v="0"/>
    <x v="3"/>
    <s v="STAFF-160"/>
    <n v="160"/>
    <x v="1"/>
    <x v="0"/>
    <x v="1"/>
    <s v="No"/>
    <s v="Y"/>
    <n v="2"/>
    <n v="-2"/>
    <n v="0"/>
    <n v="33"/>
    <n v="0"/>
    <m/>
    <n v="0"/>
    <n v="1"/>
    <n v="750"/>
    <n v="22"/>
    <x v="0"/>
    <n v="1"/>
    <n v="3"/>
    <n v="95"/>
    <n v="3"/>
    <n v="2"/>
    <n v="3"/>
    <n v="6146"/>
    <n v="15480"/>
    <n v="0"/>
    <n v="13"/>
    <n v="3"/>
    <n v="1"/>
    <n v="80"/>
    <n v="1"/>
    <n v="8"/>
    <n v="4"/>
    <n v="7"/>
    <n v="7"/>
    <n v="0"/>
    <n v="7"/>
  </r>
  <r>
    <s v="Yes"/>
    <s v="Travel_Rarely"/>
    <x v="3"/>
    <s v="Ex-Employees"/>
    <x v="1"/>
    <x v="0"/>
    <s v="STAFF-161"/>
    <n v="161"/>
    <x v="0"/>
    <x v="1"/>
    <x v="1"/>
    <s v="Yes"/>
    <s v="Y"/>
    <n v="2"/>
    <n v="-2"/>
    <n v="0"/>
    <n v="56"/>
    <n v="1"/>
    <n v="1"/>
    <n v="1"/>
    <n v="0"/>
    <n v="441"/>
    <n v="14"/>
    <x v="2"/>
    <n v="1"/>
    <n v="2"/>
    <n v="72"/>
    <n v="3"/>
    <n v="1"/>
    <n v="2"/>
    <n v="4963"/>
    <n v="4510"/>
    <n v="9"/>
    <n v="18"/>
    <n v="3"/>
    <n v="1"/>
    <n v="80"/>
    <n v="3"/>
    <n v="7"/>
    <n v="3"/>
    <n v="5"/>
    <n v="4"/>
    <n v="4"/>
    <n v="3"/>
  </r>
  <r>
    <s v="No"/>
    <s v="Travel_Rarely"/>
    <x v="1"/>
    <s v="Current Employees"/>
    <x v="1"/>
    <x v="0"/>
    <s v="STAFF-162"/>
    <n v="162"/>
    <x v="1"/>
    <x v="7"/>
    <x v="0"/>
    <s v="No"/>
    <s v="Y"/>
    <n v="5"/>
    <n v="-2"/>
    <n v="0"/>
    <n v="51"/>
    <n v="0"/>
    <m/>
    <n v="0"/>
    <n v="1"/>
    <n v="684"/>
    <n v="6"/>
    <x v="3"/>
    <n v="1"/>
    <n v="1"/>
    <n v="51"/>
    <n v="3"/>
    <n v="5"/>
    <n v="2"/>
    <n v="19537"/>
    <n v="6462"/>
    <n v="7"/>
    <n v="13"/>
    <n v="3"/>
    <n v="3"/>
    <n v="80"/>
    <n v="0"/>
    <n v="23"/>
    <n v="3"/>
    <n v="20"/>
    <n v="18"/>
    <n v="15"/>
    <n v="15"/>
  </r>
  <r>
    <s v="Yes"/>
    <s v="Travel_Rarely"/>
    <x v="2"/>
    <s v="Ex-Employees"/>
    <x v="0"/>
    <x v="0"/>
    <s v="STAFF-163"/>
    <n v="163"/>
    <x v="1"/>
    <x v="0"/>
    <x v="1"/>
    <s v="Yes"/>
    <s v="Y"/>
    <n v="3"/>
    <n v="-2"/>
    <n v="0"/>
    <n v="31"/>
    <n v="1"/>
    <n v="1"/>
    <n v="1"/>
    <n v="0"/>
    <n v="249"/>
    <n v="6"/>
    <x v="2"/>
    <n v="1"/>
    <n v="2"/>
    <n v="76"/>
    <n v="1"/>
    <n v="2"/>
    <n v="2"/>
    <n v="6172"/>
    <n v="20739"/>
    <n v="4"/>
    <n v="18"/>
    <n v="3"/>
    <n v="2"/>
    <n v="80"/>
    <n v="0"/>
    <n v="12"/>
    <n v="2"/>
    <n v="7"/>
    <n v="7"/>
    <n v="7"/>
    <n v="7"/>
  </r>
  <r>
    <s v="No"/>
    <s v="Travel_Rarely"/>
    <x v="2"/>
    <s v="Current Employees"/>
    <x v="1"/>
    <x v="1"/>
    <s v="STAFF-164"/>
    <n v="164"/>
    <x v="0"/>
    <x v="1"/>
    <x v="1"/>
    <s v="No"/>
    <s v="Y"/>
    <n v="3"/>
    <n v="-2"/>
    <n v="0"/>
    <n v="26"/>
    <n v="0"/>
    <m/>
    <n v="0"/>
    <n v="1"/>
    <n v="841"/>
    <n v="6"/>
    <x v="3"/>
    <n v="1"/>
    <n v="3"/>
    <n v="46"/>
    <n v="2"/>
    <n v="1"/>
    <n v="3"/>
    <n v="2368"/>
    <n v="23300"/>
    <n v="1"/>
    <n v="19"/>
    <n v="3"/>
    <n v="3"/>
    <n v="80"/>
    <n v="0"/>
    <n v="5"/>
    <n v="2"/>
    <n v="5"/>
    <n v="4"/>
    <n v="4"/>
    <n v="3"/>
  </r>
  <r>
    <s v="Yes"/>
    <s v="Travel_Rarely"/>
    <x v="3"/>
    <s v="Ex-Employees"/>
    <x v="1"/>
    <x v="2"/>
    <s v="STAFF-165"/>
    <n v="165"/>
    <x v="0"/>
    <x v="4"/>
    <x v="1"/>
    <s v="No"/>
    <s v="Y"/>
    <n v="3"/>
    <n v="-2"/>
    <n v="0"/>
    <n v="58"/>
    <n v="1"/>
    <n v="1"/>
    <n v="1"/>
    <n v="0"/>
    <n v="147"/>
    <n v="23"/>
    <x v="2"/>
    <n v="1"/>
    <n v="4"/>
    <n v="94"/>
    <n v="3"/>
    <n v="3"/>
    <n v="4"/>
    <n v="10312"/>
    <n v="3465"/>
    <n v="1"/>
    <n v="12"/>
    <n v="3"/>
    <n v="4"/>
    <n v="80"/>
    <n v="1"/>
    <n v="40"/>
    <n v="2"/>
    <n v="40"/>
    <n v="10"/>
    <n v="15"/>
    <n v="6"/>
  </r>
  <r>
    <s v="Yes"/>
    <s v="Travel_Rarely"/>
    <x v="4"/>
    <s v="Ex-Employees"/>
    <x v="0"/>
    <x v="3"/>
    <s v="STAFF-167"/>
    <n v="167"/>
    <x v="1"/>
    <x v="6"/>
    <x v="0"/>
    <s v="Yes"/>
    <s v="Y"/>
    <n v="2"/>
    <n v="-2"/>
    <n v="0"/>
    <n v="19"/>
    <n v="1"/>
    <n v="1"/>
    <n v="1"/>
    <n v="0"/>
    <n v="528"/>
    <n v="22"/>
    <x v="1"/>
    <n v="1"/>
    <n v="4"/>
    <n v="50"/>
    <n v="3"/>
    <n v="1"/>
    <n v="3"/>
    <n v="1675"/>
    <n v="26820"/>
    <n v="1"/>
    <n v="19"/>
    <n v="3"/>
    <n v="4"/>
    <n v="80"/>
    <n v="0"/>
    <n v="0"/>
    <n v="2"/>
    <n v="0"/>
    <n v="0"/>
    <n v="0"/>
    <n v="0"/>
  </r>
  <r>
    <s v="No"/>
    <s v="Travel_Rarely"/>
    <x v="4"/>
    <s v="Current Employees"/>
    <x v="1"/>
    <x v="4"/>
    <s v="STAFF-169"/>
    <n v="169"/>
    <x v="1"/>
    <x v="2"/>
    <x v="1"/>
    <s v="No"/>
    <s v="Y"/>
    <n v="2"/>
    <n v="-2"/>
    <n v="0"/>
    <n v="22"/>
    <n v="0"/>
    <m/>
    <n v="0"/>
    <n v="1"/>
    <n v="594"/>
    <n v="2"/>
    <x v="1"/>
    <n v="1"/>
    <n v="3"/>
    <n v="100"/>
    <n v="3"/>
    <n v="1"/>
    <n v="4"/>
    <n v="2523"/>
    <n v="19299"/>
    <n v="0"/>
    <n v="14"/>
    <n v="3"/>
    <n v="3"/>
    <n v="80"/>
    <n v="1"/>
    <n v="3"/>
    <n v="3"/>
    <n v="2"/>
    <n v="1"/>
    <n v="2"/>
    <n v="1"/>
  </r>
  <r>
    <s v="No"/>
    <s v="Travel_Rarely"/>
    <x v="1"/>
    <s v="Current Employees"/>
    <x v="1"/>
    <x v="2"/>
    <s v="STAFF-170"/>
    <n v="170"/>
    <x v="0"/>
    <x v="3"/>
    <x v="1"/>
    <s v="No"/>
    <s v="Y"/>
    <n v="2"/>
    <n v="-2"/>
    <n v="0"/>
    <n v="49"/>
    <n v="0"/>
    <m/>
    <n v="0"/>
    <n v="1"/>
    <n v="470"/>
    <n v="20"/>
    <x v="2"/>
    <n v="1"/>
    <n v="3"/>
    <n v="96"/>
    <n v="3"/>
    <n v="2"/>
    <n v="1"/>
    <n v="6567"/>
    <n v="5549"/>
    <n v="1"/>
    <n v="14"/>
    <n v="3"/>
    <n v="3"/>
    <n v="80"/>
    <n v="0"/>
    <n v="16"/>
    <n v="2"/>
    <n v="15"/>
    <n v="11"/>
    <n v="5"/>
    <n v="11"/>
  </r>
  <r>
    <s v="No"/>
    <s v="Travel_Frequently"/>
    <x v="0"/>
    <s v="Current Employees"/>
    <x v="1"/>
    <x v="2"/>
    <s v="STAFF-171"/>
    <n v="171"/>
    <x v="0"/>
    <x v="1"/>
    <x v="0"/>
    <s v="No"/>
    <s v="Y"/>
    <n v="2"/>
    <n v="-2"/>
    <n v="0"/>
    <n v="43"/>
    <n v="0"/>
    <m/>
    <n v="0"/>
    <n v="1"/>
    <n v="957"/>
    <n v="28"/>
    <x v="3"/>
    <n v="1"/>
    <n v="2"/>
    <n v="72"/>
    <n v="4"/>
    <n v="1"/>
    <n v="3"/>
    <n v="4739"/>
    <n v="16090"/>
    <n v="4"/>
    <n v="12"/>
    <n v="3"/>
    <n v="4"/>
    <n v="80"/>
    <n v="0"/>
    <n v="18"/>
    <n v="3"/>
    <n v="3"/>
    <n v="2"/>
    <n v="1"/>
    <n v="2"/>
  </r>
  <r>
    <s v="No"/>
    <s v="Travel_Frequently"/>
    <x v="1"/>
    <s v="Current Employees"/>
    <x v="0"/>
    <x v="3"/>
    <s v="STAFF-174"/>
    <n v="174"/>
    <x v="0"/>
    <x v="0"/>
    <x v="0"/>
    <s v="No"/>
    <s v="Y"/>
    <n v="3"/>
    <n v="-2"/>
    <n v="0"/>
    <n v="50"/>
    <n v="0"/>
    <m/>
    <n v="0"/>
    <n v="1"/>
    <n v="809"/>
    <n v="12"/>
    <x v="3"/>
    <n v="1"/>
    <n v="3"/>
    <n v="77"/>
    <n v="3"/>
    <n v="3"/>
    <n v="4"/>
    <n v="9208"/>
    <n v="6645"/>
    <n v="4"/>
    <n v="11"/>
    <n v="3"/>
    <n v="4"/>
    <n v="80"/>
    <n v="0"/>
    <n v="16"/>
    <n v="3"/>
    <n v="2"/>
    <n v="2"/>
    <n v="2"/>
    <n v="1"/>
  </r>
  <r>
    <s v="Yes"/>
    <s v="Travel_Rarely"/>
    <x v="2"/>
    <s v="Ex-Employees"/>
    <x v="0"/>
    <x v="0"/>
    <s v="STAFF-175"/>
    <n v="175"/>
    <x v="0"/>
    <x v="0"/>
    <x v="1"/>
    <s v="Yes"/>
    <s v="Y"/>
    <n v="2"/>
    <n v="-2"/>
    <n v="0"/>
    <n v="31"/>
    <n v="1"/>
    <n v="1"/>
    <n v="1"/>
    <n v="0"/>
    <n v="542"/>
    <n v="20"/>
    <x v="3"/>
    <n v="1"/>
    <n v="2"/>
    <n v="71"/>
    <n v="1"/>
    <n v="2"/>
    <n v="2"/>
    <n v="4559"/>
    <n v="24788"/>
    <n v="3"/>
    <n v="11"/>
    <n v="3"/>
    <n v="3"/>
    <n v="80"/>
    <n v="1"/>
    <n v="4"/>
    <n v="3"/>
    <n v="2"/>
    <n v="2"/>
    <n v="2"/>
    <n v="2"/>
  </r>
  <r>
    <s v="No"/>
    <s v="Travel_Rarely"/>
    <x v="0"/>
    <s v="Current Employees"/>
    <x v="0"/>
    <x v="0"/>
    <s v="STAFF-176"/>
    <n v="176"/>
    <x v="1"/>
    <x v="0"/>
    <x v="2"/>
    <s v="Yes"/>
    <s v="Y"/>
    <n v="2"/>
    <n v="-2"/>
    <n v="0"/>
    <n v="41"/>
    <n v="0"/>
    <m/>
    <n v="0"/>
    <n v="1"/>
    <n v="802"/>
    <n v="9"/>
    <x v="1"/>
    <n v="1"/>
    <n v="3"/>
    <n v="96"/>
    <n v="3"/>
    <n v="3"/>
    <n v="2"/>
    <n v="8189"/>
    <n v="21196"/>
    <n v="3"/>
    <n v="13"/>
    <n v="3"/>
    <n v="3"/>
    <n v="80"/>
    <n v="1"/>
    <n v="12"/>
    <n v="3"/>
    <n v="9"/>
    <n v="7"/>
    <n v="0"/>
    <n v="7"/>
  </r>
  <r>
    <s v="No"/>
    <s v="Travel_Rarely"/>
    <x v="2"/>
    <s v="Current Employees"/>
    <x v="2"/>
    <x v="0"/>
    <s v="STAFF-177"/>
    <n v="177"/>
    <x v="0"/>
    <x v="8"/>
    <x v="1"/>
    <s v="No"/>
    <s v="Y"/>
    <n v="3"/>
    <n v="-2"/>
    <n v="0"/>
    <n v="26"/>
    <n v="0"/>
    <m/>
    <n v="0"/>
    <n v="1"/>
    <n v="1355"/>
    <n v="25"/>
    <x v="1"/>
    <n v="1"/>
    <n v="3"/>
    <n v="61"/>
    <n v="3"/>
    <n v="1"/>
    <n v="2"/>
    <n v="2942"/>
    <n v="8916"/>
    <n v="1"/>
    <n v="23"/>
    <n v="4"/>
    <n v="4"/>
    <n v="80"/>
    <n v="1"/>
    <n v="8"/>
    <n v="3"/>
    <n v="8"/>
    <n v="7"/>
    <n v="5"/>
    <n v="7"/>
  </r>
  <r>
    <s v="No"/>
    <s v="Travel_Rarely"/>
    <x v="0"/>
    <s v="Current Employees"/>
    <x v="1"/>
    <x v="2"/>
    <s v="STAFF-178"/>
    <n v="178"/>
    <x v="1"/>
    <x v="3"/>
    <x v="2"/>
    <s v="No"/>
    <s v="Y"/>
    <n v="0"/>
    <n v="-2"/>
    <n v="0"/>
    <n v="36"/>
    <n v="0"/>
    <m/>
    <n v="0"/>
    <n v="1"/>
    <n v="216"/>
    <n v="6"/>
    <x v="0"/>
    <n v="1"/>
    <n v="2"/>
    <n v="84"/>
    <n v="3"/>
    <n v="2"/>
    <n v="3"/>
    <n v="4941"/>
    <n v="2819"/>
    <n v="6"/>
    <n v="20"/>
    <n v="4"/>
    <n v="4"/>
    <n v="80"/>
    <n v="2"/>
    <n v="7"/>
    <n v="3"/>
    <n v="3"/>
    <n v="2"/>
    <n v="0"/>
    <n v="1"/>
  </r>
  <r>
    <s v="Yes"/>
    <s v="Travel_Frequently"/>
    <x v="1"/>
    <s v="Ex-Employees"/>
    <x v="1"/>
    <x v="0"/>
    <s v="STAFF-179"/>
    <n v="179"/>
    <x v="1"/>
    <x v="3"/>
    <x v="0"/>
    <s v="No"/>
    <s v="Y"/>
    <n v="2"/>
    <n v="-2"/>
    <n v="0"/>
    <n v="51"/>
    <n v="1"/>
    <n v="1"/>
    <n v="1"/>
    <n v="0"/>
    <n v="1150"/>
    <n v="8"/>
    <x v="2"/>
    <n v="1"/>
    <n v="1"/>
    <n v="53"/>
    <n v="1"/>
    <n v="3"/>
    <n v="2"/>
    <n v="10650"/>
    <n v="25150"/>
    <n v="2"/>
    <n v="15"/>
    <n v="3"/>
    <n v="4"/>
    <n v="80"/>
    <n v="0"/>
    <n v="18"/>
    <n v="3"/>
    <n v="4"/>
    <n v="2"/>
    <n v="0"/>
    <n v="3"/>
  </r>
  <r>
    <s v="No"/>
    <s v="Travel_Rarely"/>
    <x v="0"/>
    <s v="Current Employees"/>
    <x v="0"/>
    <x v="0"/>
    <s v="STAFF-182"/>
    <n v="182"/>
    <x v="0"/>
    <x v="0"/>
    <x v="1"/>
    <s v="No"/>
    <s v="Y"/>
    <n v="1"/>
    <n v="-2"/>
    <n v="0"/>
    <n v="39"/>
    <n v="0"/>
    <m/>
    <n v="0"/>
    <n v="1"/>
    <n v="1329"/>
    <n v="4"/>
    <x v="2"/>
    <n v="1"/>
    <n v="4"/>
    <n v="47"/>
    <n v="2"/>
    <n v="2"/>
    <n v="2"/>
    <n v="5902"/>
    <n v="14590"/>
    <n v="4"/>
    <n v="14"/>
    <n v="3"/>
    <n v="3"/>
    <n v="80"/>
    <n v="1"/>
    <n v="17"/>
    <n v="4"/>
    <n v="15"/>
    <n v="11"/>
    <n v="5"/>
    <n v="9"/>
  </r>
  <r>
    <s v="No"/>
    <s v="Travel_Rarely"/>
    <x v="2"/>
    <s v="Current Employees"/>
    <x v="0"/>
    <x v="0"/>
    <s v="STAFF-183"/>
    <n v="183"/>
    <x v="1"/>
    <x v="0"/>
    <x v="1"/>
    <s v="No"/>
    <s v="Y"/>
    <n v="3"/>
    <n v="-2"/>
    <n v="0"/>
    <n v="25"/>
    <n v="0"/>
    <m/>
    <n v="0"/>
    <n v="1"/>
    <n v="959"/>
    <n v="28"/>
    <x v="3"/>
    <n v="1"/>
    <n v="1"/>
    <n v="41"/>
    <n v="2"/>
    <n v="2"/>
    <n v="2"/>
    <n v="8639"/>
    <n v="24835"/>
    <n v="2"/>
    <n v="18"/>
    <n v="3"/>
    <n v="4"/>
    <n v="80"/>
    <n v="0"/>
    <n v="6"/>
    <n v="3"/>
    <n v="2"/>
    <n v="2"/>
    <n v="2"/>
    <n v="2"/>
  </r>
  <r>
    <s v="No"/>
    <s v="Travel_Rarely"/>
    <x v="2"/>
    <s v="Current Employees"/>
    <x v="2"/>
    <x v="5"/>
    <s v="STAFF-184"/>
    <n v="184"/>
    <x v="1"/>
    <x v="8"/>
    <x v="1"/>
    <s v="Yes"/>
    <s v="Y"/>
    <n v="2"/>
    <n v="-2"/>
    <n v="0"/>
    <n v="30"/>
    <n v="0"/>
    <m/>
    <n v="0"/>
    <n v="1"/>
    <n v="1240"/>
    <n v="9"/>
    <x v="3"/>
    <n v="1"/>
    <n v="3"/>
    <n v="48"/>
    <n v="3"/>
    <n v="2"/>
    <n v="4"/>
    <n v="6347"/>
    <n v="13982"/>
    <n v="0"/>
    <n v="19"/>
    <n v="3"/>
    <n v="4"/>
    <n v="80"/>
    <n v="0"/>
    <n v="12"/>
    <n v="1"/>
    <n v="11"/>
    <n v="9"/>
    <n v="4"/>
    <n v="7"/>
  </r>
  <r>
    <s v="Yes"/>
    <s v="Travel_Rarely"/>
    <x v="2"/>
    <s v="Ex-Employees"/>
    <x v="1"/>
    <x v="2"/>
    <s v="STAFF-190"/>
    <n v="190"/>
    <x v="0"/>
    <x v="2"/>
    <x v="0"/>
    <s v="No"/>
    <s v="Y"/>
    <n v="2"/>
    <n v="-2"/>
    <n v="0"/>
    <n v="32"/>
    <n v="1"/>
    <n v="1"/>
    <n v="1"/>
    <n v="0"/>
    <n v="1033"/>
    <n v="9"/>
    <x v="3"/>
    <n v="1"/>
    <n v="1"/>
    <n v="41"/>
    <n v="3"/>
    <n v="1"/>
    <n v="1"/>
    <n v="4200"/>
    <n v="10224"/>
    <n v="7"/>
    <n v="22"/>
    <n v="4"/>
    <n v="1"/>
    <n v="80"/>
    <n v="0"/>
    <n v="10"/>
    <n v="4"/>
    <n v="5"/>
    <n v="4"/>
    <n v="0"/>
    <n v="4"/>
  </r>
  <r>
    <s v="No"/>
    <s v="Travel_Rarely"/>
    <x v="1"/>
    <s v="Current Employees"/>
    <x v="1"/>
    <x v="2"/>
    <s v="STAFF-192"/>
    <n v="192"/>
    <x v="1"/>
    <x v="1"/>
    <x v="0"/>
    <s v="No"/>
    <s v="Y"/>
    <n v="2"/>
    <n v="-2"/>
    <n v="0"/>
    <n v="45"/>
    <n v="0"/>
    <m/>
    <n v="0"/>
    <n v="1"/>
    <n v="1316"/>
    <n v="29"/>
    <x v="3"/>
    <n v="1"/>
    <n v="3"/>
    <n v="83"/>
    <n v="3"/>
    <n v="1"/>
    <n v="4"/>
    <n v="3452"/>
    <n v="9752"/>
    <n v="5"/>
    <n v="13"/>
    <n v="3"/>
    <n v="2"/>
    <n v="80"/>
    <n v="0"/>
    <n v="9"/>
    <n v="2"/>
    <n v="6"/>
    <n v="5"/>
    <n v="0"/>
    <n v="3"/>
  </r>
  <r>
    <s v="No"/>
    <s v="Travel_Rarely"/>
    <x v="0"/>
    <s v="Current Employees"/>
    <x v="1"/>
    <x v="4"/>
    <s v="STAFF-193"/>
    <n v="193"/>
    <x v="0"/>
    <x v="1"/>
    <x v="0"/>
    <s v="Yes"/>
    <s v="Y"/>
    <n v="2"/>
    <n v="-2"/>
    <n v="0"/>
    <n v="38"/>
    <n v="0"/>
    <m/>
    <n v="0"/>
    <n v="1"/>
    <n v="364"/>
    <n v="3"/>
    <x v="4"/>
    <n v="1"/>
    <n v="4"/>
    <n v="32"/>
    <n v="3"/>
    <n v="2"/>
    <n v="3"/>
    <n v="4317"/>
    <n v="2302"/>
    <n v="3"/>
    <n v="20"/>
    <n v="4"/>
    <n v="2"/>
    <n v="80"/>
    <n v="0"/>
    <n v="19"/>
    <n v="3"/>
    <n v="3"/>
    <n v="2"/>
    <n v="2"/>
    <n v="2"/>
  </r>
  <r>
    <s v="No"/>
    <s v="Travel_Rarely"/>
    <x v="2"/>
    <s v="Current Employees"/>
    <x v="1"/>
    <x v="0"/>
    <s v="STAFF-194"/>
    <n v="194"/>
    <x v="0"/>
    <x v="1"/>
    <x v="0"/>
    <s v="No"/>
    <s v="Y"/>
    <n v="4"/>
    <n v="-2"/>
    <n v="0"/>
    <n v="30"/>
    <n v="0"/>
    <m/>
    <n v="0"/>
    <n v="1"/>
    <n v="438"/>
    <n v="18"/>
    <x v="3"/>
    <n v="1"/>
    <n v="1"/>
    <n v="75"/>
    <n v="3"/>
    <n v="1"/>
    <n v="2"/>
    <n v="2632"/>
    <n v="23910"/>
    <n v="1"/>
    <n v="14"/>
    <n v="3"/>
    <n v="3"/>
    <n v="80"/>
    <n v="0"/>
    <n v="5"/>
    <n v="2"/>
    <n v="5"/>
    <n v="4"/>
    <n v="0"/>
    <n v="4"/>
  </r>
  <r>
    <s v="No"/>
    <s v="Travel_Frequently"/>
    <x v="2"/>
    <s v="Current Employees"/>
    <x v="0"/>
    <x v="2"/>
    <s v="STAFF-195"/>
    <n v="195"/>
    <x v="1"/>
    <x v="0"/>
    <x v="2"/>
    <s v="No"/>
    <s v="Y"/>
    <n v="2"/>
    <n v="-2"/>
    <n v="0"/>
    <n v="32"/>
    <n v="0"/>
    <m/>
    <n v="0"/>
    <n v="1"/>
    <n v="689"/>
    <n v="9"/>
    <x v="0"/>
    <n v="1"/>
    <n v="4"/>
    <n v="35"/>
    <n v="1"/>
    <n v="2"/>
    <n v="4"/>
    <n v="4668"/>
    <n v="22812"/>
    <n v="0"/>
    <n v="17"/>
    <n v="3"/>
    <n v="4"/>
    <n v="80"/>
    <n v="3"/>
    <n v="9"/>
    <n v="4"/>
    <n v="8"/>
    <n v="7"/>
    <n v="0"/>
    <n v="7"/>
  </r>
  <r>
    <s v="No"/>
    <s v="Travel_Rarely"/>
    <x v="2"/>
    <s v="Current Employees"/>
    <x v="1"/>
    <x v="4"/>
    <s v="STAFF-197"/>
    <n v="197"/>
    <x v="0"/>
    <x v="1"/>
    <x v="2"/>
    <s v="No"/>
    <s v="Y"/>
    <n v="3"/>
    <n v="-2"/>
    <n v="0"/>
    <n v="30"/>
    <n v="0"/>
    <m/>
    <n v="0"/>
    <n v="1"/>
    <n v="201"/>
    <n v="5"/>
    <x v="3"/>
    <n v="1"/>
    <n v="4"/>
    <n v="84"/>
    <n v="3"/>
    <n v="1"/>
    <n v="4"/>
    <n v="3204"/>
    <n v="10415"/>
    <n v="5"/>
    <n v="14"/>
    <n v="3"/>
    <n v="4"/>
    <n v="80"/>
    <n v="1"/>
    <n v="8"/>
    <n v="3"/>
    <n v="3"/>
    <n v="2"/>
    <n v="2"/>
    <n v="2"/>
  </r>
  <r>
    <s v="No"/>
    <s v="Travel_Rarely"/>
    <x v="2"/>
    <s v="Current Employees"/>
    <x v="1"/>
    <x v="2"/>
    <s v="STAFF-198"/>
    <n v="198"/>
    <x v="1"/>
    <x v="2"/>
    <x v="0"/>
    <s v="No"/>
    <s v="Y"/>
    <n v="3"/>
    <n v="-2"/>
    <n v="0"/>
    <n v="30"/>
    <n v="0"/>
    <m/>
    <n v="0"/>
    <n v="1"/>
    <n v="1427"/>
    <n v="2"/>
    <x v="1"/>
    <n v="1"/>
    <n v="2"/>
    <n v="35"/>
    <n v="2"/>
    <n v="1"/>
    <n v="4"/>
    <n v="2720"/>
    <n v="11162"/>
    <n v="0"/>
    <n v="13"/>
    <n v="3"/>
    <n v="4"/>
    <n v="80"/>
    <n v="0"/>
    <n v="6"/>
    <n v="3"/>
    <n v="5"/>
    <n v="3"/>
    <n v="1"/>
    <n v="2"/>
  </r>
  <r>
    <s v="No"/>
    <s v="Travel_Frequently"/>
    <x v="0"/>
    <s v="Current Employees"/>
    <x v="1"/>
    <x v="0"/>
    <s v="STAFF-199"/>
    <n v="199"/>
    <x v="1"/>
    <x v="5"/>
    <x v="2"/>
    <s v="No"/>
    <s v="Y"/>
    <n v="2"/>
    <n v="-2"/>
    <n v="0"/>
    <n v="41"/>
    <n v="0"/>
    <m/>
    <n v="0"/>
    <n v="1"/>
    <n v="857"/>
    <n v="10"/>
    <x v="3"/>
    <n v="1"/>
    <n v="4"/>
    <n v="91"/>
    <n v="2"/>
    <n v="4"/>
    <n v="2"/>
    <n v="17181"/>
    <n v="12888"/>
    <n v="4"/>
    <n v="13"/>
    <n v="3"/>
    <n v="2"/>
    <n v="80"/>
    <n v="1"/>
    <n v="21"/>
    <n v="2"/>
    <n v="7"/>
    <n v="6"/>
    <n v="7"/>
    <n v="7"/>
  </r>
  <r>
    <s v="No"/>
    <s v="Travel_Rarely"/>
    <x v="0"/>
    <s v="Current Employees"/>
    <x v="1"/>
    <x v="0"/>
    <s v="STAFF-200"/>
    <n v="200"/>
    <x v="1"/>
    <x v="2"/>
    <x v="1"/>
    <s v="No"/>
    <s v="Y"/>
    <n v="2"/>
    <n v="-2"/>
    <n v="0"/>
    <n v="41"/>
    <n v="0"/>
    <m/>
    <n v="0"/>
    <n v="1"/>
    <n v="933"/>
    <n v="9"/>
    <x v="2"/>
    <n v="1"/>
    <n v="3"/>
    <n v="94"/>
    <n v="3"/>
    <n v="1"/>
    <n v="2"/>
    <n v="2238"/>
    <n v="6961"/>
    <n v="2"/>
    <n v="21"/>
    <n v="4"/>
    <n v="4"/>
    <n v="80"/>
    <n v="1"/>
    <n v="7"/>
    <n v="3"/>
    <n v="5"/>
    <n v="0"/>
    <n v="1"/>
    <n v="4"/>
  </r>
  <r>
    <s v="No"/>
    <s v="Travel_Rarely"/>
    <x v="4"/>
    <s v="Current Employees"/>
    <x v="1"/>
    <x v="2"/>
    <s v="STAFF-201"/>
    <n v="201"/>
    <x v="0"/>
    <x v="2"/>
    <x v="0"/>
    <s v="No"/>
    <s v="Y"/>
    <n v="3"/>
    <n v="-2"/>
    <n v="0"/>
    <n v="19"/>
    <n v="0"/>
    <m/>
    <n v="0"/>
    <n v="1"/>
    <n v="1181"/>
    <n v="3"/>
    <x v="1"/>
    <n v="1"/>
    <n v="2"/>
    <n v="79"/>
    <n v="3"/>
    <n v="1"/>
    <n v="3"/>
    <n v="1483"/>
    <n v="16102"/>
    <n v="1"/>
    <n v="14"/>
    <n v="3"/>
    <n v="4"/>
    <n v="80"/>
    <n v="0"/>
    <n v="1"/>
    <n v="3"/>
    <n v="1"/>
    <n v="0"/>
    <n v="0"/>
    <n v="0"/>
  </r>
  <r>
    <s v="No"/>
    <s v="Travel_Frequently"/>
    <x v="0"/>
    <s v="Current Employees"/>
    <x v="1"/>
    <x v="2"/>
    <s v="STAFF-202"/>
    <n v="202"/>
    <x v="0"/>
    <x v="1"/>
    <x v="2"/>
    <s v="No"/>
    <s v="Y"/>
    <n v="2"/>
    <n v="-2"/>
    <n v="0"/>
    <n v="40"/>
    <n v="0"/>
    <m/>
    <n v="0"/>
    <n v="1"/>
    <n v="1395"/>
    <n v="26"/>
    <x v="3"/>
    <n v="1"/>
    <n v="2"/>
    <n v="54"/>
    <n v="3"/>
    <n v="2"/>
    <n v="3"/>
    <n v="5605"/>
    <n v="8504"/>
    <n v="1"/>
    <n v="11"/>
    <n v="3"/>
    <n v="1"/>
    <n v="80"/>
    <n v="1"/>
    <n v="20"/>
    <n v="3"/>
    <n v="20"/>
    <n v="7"/>
    <n v="2"/>
    <n v="13"/>
  </r>
  <r>
    <s v="No"/>
    <s v="Travel_Rarely"/>
    <x v="0"/>
    <s v="Current Employees"/>
    <x v="0"/>
    <x v="3"/>
    <s v="STAFF-204"/>
    <n v="204"/>
    <x v="1"/>
    <x v="0"/>
    <x v="1"/>
    <s v="No"/>
    <s v="Y"/>
    <n v="3"/>
    <n v="-2"/>
    <n v="0"/>
    <n v="35"/>
    <n v="0"/>
    <m/>
    <n v="0"/>
    <n v="1"/>
    <n v="662"/>
    <n v="1"/>
    <x v="4"/>
    <n v="1"/>
    <n v="3"/>
    <n v="94"/>
    <n v="3"/>
    <n v="3"/>
    <n v="3"/>
    <n v="7295"/>
    <n v="11439"/>
    <n v="1"/>
    <n v="13"/>
    <n v="3"/>
    <n v="1"/>
    <n v="80"/>
    <n v="2"/>
    <n v="10"/>
    <n v="3"/>
    <n v="10"/>
    <n v="8"/>
    <n v="0"/>
    <n v="6"/>
  </r>
  <r>
    <s v="No"/>
    <s v="Travel_Rarely"/>
    <x v="1"/>
    <s v="Current Employees"/>
    <x v="0"/>
    <x v="3"/>
    <s v="STAFF-205"/>
    <n v="205"/>
    <x v="1"/>
    <x v="6"/>
    <x v="1"/>
    <s v="Yes"/>
    <s v="Y"/>
    <n v="3"/>
    <n v="-2"/>
    <n v="0"/>
    <n v="53"/>
    <n v="0"/>
    <m/>
    <n v="0"/>
    <n v="1"/>
    <n v="1436"/>
    <n v="6"/>
    <x v="0"/>
    <n v="1"/>
    <n v="2"/>
    <n v="34"/>
    <n v="3"/>
    <n v="2"/>
    <n v="3"/>
    <n v="2306"/>
    <n v="16047"/>
    <n v="2"/>
    <n v="20"/>
    <n v="4"/>
    <n v="4"/>
    <n v="80"/>
    <n v="1"/>
    <n v="13"/>
    <n v="1"/>
    <n v="7"/>
    <n v="7"/>
    <n v="4"/>
    <n v="5"/>
  </r>
  <r>
    <s v="No"/>
    <s v="Travel_Rarely"/>
    <x v="1"/>
    <s v="Current Employees"/>
    <x v="1"/>
    <x v="0"/>
    <s v="STAFF-206"/>
    <n v="206"/>
    <x v="1"/>
    <x v="2"/>
    <x v="2"/>
    <s v="No"/>
    <s v="Y"/>
    <n v="2"/>
    <n v="-2"/>
    <n v="0"/>
    <n v="45"/>
    <n v="0"/>
    <m/>
    <n v="0"/>
    <n v="1"/>
    <n v="194"/>
    <n v="9"/>
    <x v="3"/>
    <n v="1"/>
    <n v="2"/>
    <n v="60"/>
    <n v="3"/>
    <n v="2"/>
    <n v="2"/>
    <n v="2348"/>
    <n v="10901"/>
    <n v="8"/>
    <n v="18"/>
    <n v="3"/>
    <n v="3"/>
    <n v="80"/>
    <n v="1"/>
    <n v="20"/>
    <n v="1"/>
    <n v="17"/>
    <n v="9"/>
    <n v="0"/>
    <n v="15"/>
  </r>
  <r>
    <s v="No"/>
    <s v="Travel_Frequently"/>
    <x v="2"/>
    <s v="Current Employees"/>
    <x v="0"/>
    <x v="3"/>
    <s v="STAFF-207"/>
    <n v="207"/>
    <x v="0"/>
    <x v="0"/>
    <x v="0"/>
    <s v="No"/>
    <s v="Y"/>
    <n v="2"/>
    <n v="-2"/>
    <n v="0"/>
    <n v="32"/>
    <n v="0"/>
    <m/>
    <n v="0"/>
    <n v="1"/>
    <n v="967"/>
    <n v="8"/>
    <x v="3"/>
    <n v="1"/>
    <n v="2"/>
    <n v="43"/>
    <n v="3"/>
    <n v="3"/>
    <n v="4"/>
    <n v="8998"/>
    <n v="15589"/>
    <n v="1"/>
    <n v="14"/>
    <n v="3"/>
    <n v="4"/>
    <n v="80"/>
    <n v="0"/>
    <n v="9"/>
    <n v="3"/>
    <n v="9"/>
    <n v="8"/>
    <n v="3"/>
    <n v="7"/>
  </r>
  <r>
    <s v="No"/>
    <s v="Non-Travel"/>
    <x v="2"/>
    <s v="Current Employees"/>
    <x v="1"/>
    <x v="4"/>
    <s v="STAFF-208"/>
    <n v="208"/>
    <x v="1"/>
    <x v="3"/>
    <x v="1"/>
    <s v="No"/>
    <s v="Y"/>
    <n v="1"/>
    <n v="-2"/>
    <n v="0"/>
    <n v="29"/>
    <n v="0"/>
    <m/>
    <n v="0"/>
    <n v="1"/>
    <n v="1496"/>
    <n v="1"/>
    <x v="1"/>
    <n v="1"/>
    <n v="4"/>
    <n v="41"/>
    <n v="3"/>
    <n v="2"/>
    <n v="4"/>
    <n v="4319"/>
    <n v="26283"/>
    <n v="1"/>
    <n v="13"/>
    <n v="3"/>
    <n v="1"/>
    <n v="80"/>
    <n v="1"/>
    <n v="10"/>
    <n v="3"/>
    <n v="10"/>
    <n v="7"/>
    <n v="0"/>
    <n v="9"/>
  </r>
  <r>
    <s v="No"/>
    <s v="Travel_Rarely"/>
    <x v="1"/>
    <s v="Current Employees"/>
    <x v="1"/>
    <x v="2"/>
    <s v="STAFF-211"/>
    <n v="211"/>
    <x v="1"/>
    <x v="3"/>
    <x v="1"/>
    <s v="No"/>
    <s v="Y"/>
    <n v="2"/>
    <n v="-2"/>
    <n v="0"/>
    <n v="51"/>
    <n v="0"/>
    <m/>
    <n v="0"/>
    <n v="1"/>
    <n v="1169"/>
    <n v="7"/>
    <x v="2"/>
    <n v="1"/>
    <n v="2"/>
    <n v="34"/>
    <n v="2"/>
    <n v="2"/>
    <n v="3"/>
    <n v="6132"/>
    <n v="13983"/>
    <n v="2"/>
    <n v="17"/>
    <n v="3"/>
    <n v="3"/>
    <n v="80"/>
    <n v="0"/>
    <n v="10"/>
    <n v="3"/>
    <n v="1"/>
    <n v="0"/>
    <n v="0"/>
    <n v="0"/>
  </r>
  <r>
    <s v="No"/>
    <s v="Travel_Rarely"/>
    <x v="3"/>
    <s v="Current Employees"/>
    <x v="1"/>
    <x v="2"/>
    <s v="STAFF-214"/>
    <n v="214"/>
    <x v="0"/>
    <x v="1"/>
    <x v="1"/>
    <s v="Yes"/>
    <s v="Y"/>
    <n v="3"/>
    <n v="-2"/>
    <n v="0"/>
    <n v="58"/>
    <n v="0"/>
    <m/>
    <n v="0"/>
    <n v="1"/>
    <n v="1145"/>
    <n v="9"/>
    <x v="3"/>
    <n v="1"/>
    <n v="2"/>
    <n v="75"/>
    <n v="2"/>
    <n v="1"/>
    <n v="3"/>
    <n v="3346"/>
    <n v="11873"/>
    <n v="4"/>
    <n v="20"/>
    <n v="4"/>
    <n v="2"/>
    <n v="80"/>
    <n v="1"/>
    <n v="9"/>
    <n v="2"/>
    <n v="1"/>
    <n v="0"/>
    <n v="0"/>
    <n v="0"/>
  </r>
  <r>
    <s v="No"/>
    <s v="Travel_Rarely"/>
    <x v="0"/>
    <s v="Current Employees"/>
    <x v="0"/>
    <x v="3"/>
    <s v="STAFF-215"/>
    <n v="215"/>
    <x v="1"/>
    <x v="0"/>
    <x v="1"/>
    <s v="No"/>
    <s v="Y"/>
    <n v="2"/>
    <n v="-2"/>
    <n v="0"/>
    <n v="40"/>
    <n v="0"/>
    <m/>
    <n v="0"/>
    <n v="1"/>
    <n v="630"/>
    <n v="4"/>
    <x v="2"/>
    <n v="1"/>
    <n v="3"/>
    <n v="67"/>
    <n v="2"/>
    <n v="3"/>
    <n v="4"/>
    <n v="10855"/>
    <n v="8552"/>
    <n v="7"/>
    <n v="11"/>
    <n v="3"/>
    <n v="1"/>
    <n v="80"/>
    <n v="1"/>
    <n v="15"/>
    <n v="2"/>
    <n v="12"/>
    <n v="11"/>
    <n v="2"/>
    <n v="11"/>
  </r>
  <r>
    <s v="No"/>
    <s v="Travel_Frequently"/>
    <x v="2"/>
    <s v="Current Employees"/>
    <x v="0"/>
    <x v="3"/>
    <s v="STAFF-216"/>
    <n v="216"/>
    <x v="0"/>
    <x v="6"/>
    <x v="1"/>
    <s v="No"/>
    <s v="Y"/>
    <n v="3"/>
    <n v="-2"/>
    <n v="0"/>
    <n v="34"/>
    <n v="0"/>
    <m/>
    <n v="0"/>
    <n v="1"/>
    <n v="303"/>
    <n v="2"/>
    <x v="2"/>
    <n v="1"/>
    <n v="3"/>
    <n v="75"/>
    <n v="3"/>
    <n v="1"/>
    <n v="3"/>
    <n v="2231"/>
    <n v="11314"/>
    <n v="6"/>
    <n v="18"/>
    <n v="3"/>
    <n v="4"/>
    <n v="80"/>
    <n v="1"/>
    <n v="6"/>
    <n v="3"/>
    <n v="4"/>
    <n v="3"/>
    <n v="1"/>
    <n v="2"/>
  </r>
  <r>
    <s v="No"/>
    <s v="Travel_Rarely"/>
    <x v="4"/>
    <s v="Current Employees"/>
    <x v="1"/>
    <x v="2"/>
    <s v="STAFF-217"/>
    <n v="217"/>
    <x v="1"/>
    <x v="1"/>
    <x v="1"/>
    <s v="No"/>
    <s v="Y"/>
    <n v="6"/>
    <n v="-2"/>
    <n v="0"/>
    <n v="22"/>
    <n v="0"/>
    <m/>
    <n v="0"/>
    <n v="1"/>
    <n v="1256"/>
    <n v="19"/>
    <x v="1"/>
    <n v="1"/>
    <n v="3"/>
    <n v="80"/>
    <n v="3"/>
    <n v="1"/>
    <n v="4"/>
    <n v="2323"/>
    <n v="11992"/>
    <n v="1"/>
    <n v="24"/>
    <n v="4"/>
    <n v="1"/>
    <n v="80"/>
    <n v="2"/>
    <n v="2"/>
    <n v="3"/>
    <n v="2"/>
    <n v="2"/>
    <n v="2"/>
    <n v="2"/>
  </r>
  <r>
    <s v="No"/>
    <s v="Non-Travel"/>
    <x v="2"/>
    <s v="Current Employees"/>
    <x v="1"/>
    <x v="2"/>
    <s v="STAFF-218"/>
    <n v="218"/>
    <x v="1"/>
    <x v="1"/>
    <x v="2"/>
    <s v="No"/>
    <s v="Y"/>
    <n v="1"/>
    <n v="-2"/>
    <n v="0"/>
    <n v="27"/>
    <n v="0"/>
    <m/>
    <n v="0"/>
    <n v="1"/>
    <n v="691"/>
    <n v="9"/>
    <x v="3"/>
    <n v="1"/>
    <n v="4"/>
    <n v="57"/>
    <n v="3"/>
    <n v="1"/>
    <n v="3"/>
    <n v="2024"/>
    <n v="5970"/>
    <n v="6"/>
    <n v="18"/>
    <n v="3"/>
    <n v="4"/>
    <n v="80"/>
    <n v="1"/>
    <n v="6"/>
    <n v="1"/>
    <n v="2"/>
    <n v="2"/>
    <n v="2"/>
    <n v="2"/>
  </r>
  <r>
    <s v="No"/>
    <s v="Travel_Rarely"/>
    <x v="2"/>
    <s v="Current Employees"/>
    <x v="1"/>
    <x v="2"/>
    <s v="STAFF-221"/>
    <n v="221"/>
    <x v="1"/>
    <x v="1"/>
    <x v="1"/>
    <s v="No"/>
    <s v="Y"/>
    <n v="2"/>
    <n v="-2"/>
    <n v="0"/>
    <n v="28"/>
    <n v="0"/>
    <m/>
    <n v="0"/>
    <n v="1"/>
    <n v="440"/>
    <n v="21"/>
    <x v="3"/>
    <n v="1"/>
    <n v="3"/>
    <n v="42"/>
    <n v="3"/>
    <n v="1"/>
    <n v="4"/>
    <n v="2713"/>
    <n v="6672"/>
    <n v="1"/>
    <n v="11"/>
    <n v="3"/>
    <n v="3"/>
    <n v="80"/>
    <n v="1"/>
    <n v="5"/>
    <n v="1"/>
    <n v="5"/>
    <n v="2"/>
    <n v="0"/>
    <n v="2"/>
  </r>
  <r>
    <s v="No"/>
    <s v="Travel_Rarely"/>
    <x v="3"/>
    <s v="Current Employees"/>
    <x v="1"/>
    <x v="0"/>
    <s v="STAFF-223"/>
    <n v="223"/>
    <x v="1"/>
    <x v="4"/>
    <x v="2"/>
    <s v="Yes"/>
    <s v="Y"/>
    <n v="2"/>
    <n v="-2"/>
    <n v="0"/>
    <n v="57"/>
    <n v="0"/>
    <m/>
    <n v="0"/>
    <n v="1"/>
    <n v="334"/>
    <n v="24"/>
    <x v="0"/>
    <n v="1"/>
    <n v="3"/>
    <n v="83"/>
    <n v="4"/>
    <n v="3"/>
    <n v="2"/>
    <n v="9439"/>
    <n v="23402"/>
    <n v="3"/>
    <n v="16"/>
    <n v="3"/>
    <n v="2"/>
    <n v="80"/>
    <n v="1"/>
    <n v="12"/>
    <n v="1"/>
    <n v="5"/>
    <n v="3"/>
    <n v="1"/>
    <n v="4"/>
  </r>
  <r>
    <s v="No"/>
    <s v="Non-Travel"/>
    <x v="2"/>
    <s v="Current Employees"/>
    <x v="1"/>
    <x v="2"/>
    <s v="STAFF-224"/>
    <n v="224"/>
    <x v="1"/>
    <x v="1"/>
    <x v="2"/>
    <s v="Yes"/>
    <s v="Y"/>
    <n v="2"/>
    <n v="-2"/>
    <n v="0"/>
    <n v="27"/>
    <n v="0"/>
    <m/>
    <n v="0"/>
    <n v="1"/>
    <n v="1450"/>
    <n v="3"/>
    <x v="3"/>
    <n v="1"/>
    <n v="3"/>
    <n v="79"/>
    <n v="2"/>
    <n v="1"/>
    <n v="3"/>
    <n v="2566"/>
    <n v="25326"/>
    <n v="1"/>
    <n v="15"/>
    <n v="3"/>
    <n v="4"/>
    <n v="80"/>
    <n v="1"/>
    <n v="1"/>
    <n v="2"/>
    <n v="1"/>
    <n v="1"/>
    <n v="0"/>
    <n v="1"/>
  </r>
  <r>
    <s v="No"/>
    <s v="Travel_Rarely"/>
    <x v="1"/>
    <s v="Current Employees"/>
    <x v="1"/>
    <x v="0"/>
    <s v="STAFF-226"/>
    <n v="226"/>
    <x v="0"/>
    <x v="5"/>
    <x v="0"/>
    <s v="No"/>
    <s v="Y"/>
    <n v="5"/>
    <n v="-2"/>
    <n v="0"/>
    <n v="50"/>
    <n v="0"/>
    <m/>
    <n v="0"/>
    <n v="1"/>
    <n v="1452"/>
    <n v="11"/>
    <x v="3"/>
    <n v="1"/>
    <n v="3"/>
    <n v="53"/>
    <n v="3"/>
    <n v="5"/>
    <n v="2"/>
    <n v="19926"/>
    <n v="17053"/>
    <n v="3"/>
    <n v="15"/>
    <n v="3"/>
    <n v="2"/>
    <n v="80"/>
    <n v="0"/>
    <n v="21"/>
    <n v="3"/>
    <n v="5"/>
    <n v="4"/>
    <n v="4"/>
    <n v="4"/>
  </r>
  <r>
    <s v="No"/>
    <s v="Travel_Rarely"/>
    <x v="0"/>
    <s v="Current Employees"/>
    <x v="1"/>
    <x v="0"/>
    <s v="STAFF-227"/>
    <n v="227"/>
    <x v="1"/>
    <x v="1"/>
    <x v="2"/>
    <s v="No"/>
    <s v="Y"/>
    <n v="2"/>
    <n v="-2"/>
    <n v="0"/>
    <n v="41"/>
    <n v="0"/>
    <m/>
    <n v="0"/>
    <n v="1"/>
    <n v="465"/>
    <n v="14"/>
    <x v="3"/>
    <n v="1"/>
    <n v="1"/>
    <n v="56"/>
    <n v="3"/>
    <n v="1"/>
    <n v="2"/>
    <n v="2451"/>
    <n v="4609"/>
    <n v="4"/>
    <n v="12"/>
    <n v="3"/>
    <n v="1"/>
    <n v="80"/>
    <n v="1"/>
    <n v="13"/>
    <n v="3"/>
    <n v="9"/>
    <n v="8"/>
    <n v="1"/>
    <n v="8"/>
  </r>
  <r>
    <s v="No"/>
    <s v="Travel_Rarely"/>
    <x v="2"/>
    <s v="Current Employees"/>
    <x v="0"/>
    <x v="0"/>
    <s v="STAFF-228"/>
    <n v="228"/>
    <x v="0"/>
    <x v="0"/>
    <x v="1"/>
    <s v="No"/>
    <s v="Y"/>
    <n v="2"/>
    <n v="-2"/>
    <n v="0"/>
    <n v="30"/>
    <n v="0"/>
    <m/>
    <n v="0"/>
    <n v="1"/>
    <n v="1339"/>
    <n v="5"/>
    <x v="3"/>
    <n v="1"/>
    <n v="2"/>
    <n v="41"/>
    <n v="3"/>
    <n v="3"/>
    <n v="2"/>
    <n v="9419"/>
    <n v="8053"/>
    <n v="2"/>
    <n v="12"/>
    <n v="3"/>
    <n v="3"/>
    <n v="80"/>
    <n v="1"/>
    <n v="12"/>
    <n v="3"/>
    <n v="10"/>
    <n v="9"/>
    <n v="7"/>
    <n v="4"/>
  </r>
  <r>
    <s v="No"/>
    <s v="Travel_Rarely"/>
    <x v="0"/>
    <s v="Current Employees"/>
    <x v="0"/>
    <x v="0"/>
    <s v="STAFF-230"/>
    <n v="230"/>
    <x v="0"/>
    <x v="0"/>
    <x v="0"/>
    <s v="No"/>
    <s v="Y"/>
    <n v="2"/>
    <n v="-2"/>
    <n v="0"/>
    <n v="38"/>
    <n v="0"/>
    <m/>
    <n v="0"/>
    <n v="1"/>
    <n v="702"/>
    <n v="1"/>
    <x v="2"/>
    <n v="1"/>
    <n v="1"/>
    <n v="59"/>
    <n v="2"/>
    <n v="2"/>
    <n v="2"/>
    <n v="8686"/>
    <n v="12930"/>
    <n v="4"/>
    <n v="22"/>
    <n v="4"/>
    <n v="3"/>
    <n v="80"/>
    <n v="0"/>
    <n v="12"/>
    <n v="4"/>
    <n v="8"/>
    <n v="3"/>
    <n v="0"/>
    <n v="7"/>
  </r>
  <r>
    <s v="No"/>
    <s v="Travel_Rarely"/>
    <x v="2"/>
    <s v="Current Employees"/>
    <x v="1"/>
    <x v="0"/>
    <s v="STAFF-231"/>
    <n v="231"/>
    <x v="1"/>
    <x v="1"/>
    <x v="0"/>
    <s v="No"/>
    <s v="Y"/>
    <n v="2"/>
    <n v="-2"/>
    <n v="0"/>
    <n v="32"/>
    <n v="0"/>
    <m/>
    <n v="0"/>
    <n v="1"/>
    <n v="120"/>
    <n v="6"/>
    <x v="4"/>
    <n v="1"/>
    <n v="3"/>
    <n v="43"/>
    <n v="3"/>
    <n v="1"/>
    <n v="2"/>
    <n v="3038"/>
    <n v="12430"/>
    <n v="3"/>
    <n v="20"/>
    <n v="4"/>
    <n v="1"/>
    <n v="80"/>
    <n v="0"/>
    <n v="8"/>
    <n v="3"/>
    <n v="5"/>
    <n v="4"/>
    <n v="1"/>
    <n v="4"/>
  </r>
  <r>
    <s v="No"/>
    <s v="Travel_Rarely"/>
    <x v="2"/>
    <s v="Current Employees"/>
    <x v="1"/>
    <x v="4"/>
    <s v="STAFF-233"/>
    <n v="233"/>
    <x v="1"/>
    <x v="1"/>
    <x v="1"/>
    <s v="Yes"/>
    <s v="Y"/>
    <n v="3"/>
    <n v="-2"/>
    <n v="0"/>
    <n v="27"/>
    <n v="0"/>
    <m/>
    <n v="0"/>
    <n v="1"/>
    <n v="1157"/>
    <n v="17"/>
    <x v="3"/>
    <n v="1"/>
    <n v="3"/>
    <n v="51"/>
    <n v="3"/>
    <n v="1"/>
    <n v="4"/>
    <n v="3058"/>
    <n v="13364"/>
    <n v="0"/>
    <n v="16"/>
    <n v="3"/>
    <n v="4"/>
    <n v="80"/>
    <n v="1"/>
    <n v="6"/>
    <n v="2"/>
    <n v="5"/>
    <n v="2"/>
    <n v="1"/>
    <n v="1"/>
  </r>
  <r>
    <s v="Yes"/>
    <s v="Travel_Frequently"/>
    <x v="4"/>
    <s v="Ex-Employees"/>
    <x v="0"/>
    <x v="4"/>
    <s v="STAFF-235"/>
    <n v="235"/>
    <x v="0"/>
    <x v="6"/>
    <x v="0"/>
    <s v="No"/>
    <s v="Y"/>
    <n v="5"/>
    <n v="-2"/>
    <n v="0"/>
    <n v="19"/>
    <n v="1"/>
    <n v="1"/>
    <n v="1"/>
    <n v="0"/>
    <n v="602"/>
    <n v="1"/>
    <x v="1"/>
    <n v="1"/>
    <n v="3"/>
    <n v="100"/>
    <n v="1"/>
    <n v="1"/>
    <n v="4"/>
    <n v="2325"/>
    <n v="20989"/>
    <n v="0"/>
    <n v="21"/>
    <n v="4"/>
    <n v="1"/>
    <n v="80"/>
    <n v="0"/>
    <n v="1"/>
    <n v="4"/>
    <n v="0"/>
    <n v="0"/>
    <n v="0"/>
    <n v="0"/>
  </r>
  <r>
    <s v="No"/>
    <s v="Travel_Frequently"/>
    <x v="0"/>
    <s v="Current Employees"/>
    <x v="1"/>
    <x v="2"/>
    <s v="STAFF-238"/>
    <n v="238"/>
    <x v="1"/>
    <x v="2"/>
    <x v="0"/>
    <s v="No"/>
    <s v="Y"/>
    <n v="3"/>
    <n v="-2"/>
    <n v="0"/>
    <n v="36"/>
    <n v="0"/>
    <m/>
    <n v="0"/>
    <n v="1"/>
    <n v="1480"/>
    <n v="3"/>
    <x v="0"/>
    <n v="1"/>
    <n v="4"/>
    <n v="30"/>
    <n v="3"/>
    <n v="1"/>
    <n v="3"/>
    <n v="2088"/>
    <n v="15062"/>
    <n v="4"/>
    <n v="12"/>
    <n v="3"/>
    <n v="3"/>
    <n v="80"/>
    <n v="0"/>
    <n v="13"/>
    <n v="2"/>
    <n v="8"/>
    <n v="7"/>
    <n v="7"/>
    <n v="2"/>
  </r>
  <r>
    <s v="No"/>
    <s v="Non-Travel"/>
    <x v="2"/>
    <s v="Current Employees"/>
    <x v="1"/>
    <x v="2"/>
    <s v="STAFF-239"/>
    <n v="239"/>
    <x v="1"/>
    <x v="2"/>
    <x v="2"/>
    <s v="No"/>
    <s v="Y"/>
    <n v="4"/>
    <n v="-2"/>
    <n v="0"/>
    <n v="30"/>
    <n v="0"/>
    <m/>
    <n v="0"/>
    <n v="1"/>
    <n v="111"/>
    <n v="9"/>
    <x v="3"/>
    <n v="1"/>
    <n v="3"/>
    <n v="66"/>
    <n v="3"/>
    <n v="2"/>
    <n v="1"/>
    <n v="3072"/>
    <n v="11012"/>
    <n v="1"/>
    <n v="11"/>
    <n v="3"/>
    <n v="3"/>
    <n v="80"/>
    <n v="2"/>
    <n v="12"/>
    <n v="3"/>
    <n v="12"/>
    <n v="9"/>
    <n v="6"/>
    <n v="10"/>
  </r>
  <r>
    <s v="No"/>
    <s v="Travel_Rarely"/>
    <x v="1"/>
    <s v="Current Employees"/>
    <x v="0"/>
    <x v="0"/>
    <s v="STAFF-240"/>
    <n v="240"/>
    <x v="0"/>
    <x v="0"/>
    <x v="2"/>
    <s v="Yes"/>
    <s v="Y"/>
    <n v="3"/>
    <n v="-2"/>
    <n v="0"/>
    <n v="45"/>
    <n v="0"/>
    <m/>
    <n v="0"/>
    <n v="1"/>
    <n v="1268"/>
    <n v="4"/>
    <x v="0"/>
    <n v="1"/>
    <n v="3"/>
    <n v="30"/>
    <n v="3"/>
    <n v="2"/>
    <n v="2"/>
    <n v="5006"/>
    <n v="6319"/>
    <n v="4"/>
    <n v="11"/>
    <n v="3"/>
    <n v="1"/>
    <n v="80"/>
    <n v="1"/>
    <n v="9"/>
    <n v="4"/>
    <n v="5"/>
    <n v="4"/>
    <n v="0"/>
    <n v="3"/>
  </r>
  <r>
    <s v="No"/>
    <s v="Travel_Rarely"/>
    <x v="3"/>
    <s v="Current Employees"/>
    <x v="1"/>
    <x v="0"/>
    <s v="STAFF-241"/>
    <n v="241"/>
    <x v="0"/>
    <x v="1"/>
    <x v="2"/>
    <s v="Yes"/>
    <s v="Y"/>
    <n v="3"/>
    <n v="-2"/>
    <n v="0"/>
    <n v="56"/>
    <n v="0"/>
    <m/>
    <n v="0"/>
    <n v="1"/>
    <n v="713"/>
    <n v="8"/>
    <x v="3"/>
    <n v="1"/>
    <n v="3"/>
    <n v="67"/>
    <n v="3"/>
    <n v="1"/>
    <n v="2"/>
    <n v="4257"/>
    <n v="13939"/>
    <n v="4"/>
    <n v="18"/>
    <n v="3"/>
    <n v="3"/>
    <n v="80"/>
    <n v="1"/>
    <n v="19"/>
    <n v="3"/>
    <n v="2"/>
    <n v="2"/>
    <n v="2"/>
    <n v="2"/>
  </r>
  <r>
    <s v="No"/>
    <s v="Travel_Rarely"/>
    <x v="2"/>
    <s v="Current Employees"/>
    <x v="1"/>
    <x v="0"/>
    <s v="STAFF-242"/>
    <n v="242"/>
    <x v="1"/>
    <x v="1"/>
    <x v="0"/>
    <s v="No"/>
    <s v="Y"/>
    <n v="2"/>
    <n v="-2"/>
    <n v="0"/>
    <n v="33"/>
    <n v="0"/>
    <m/>
    <n v="0"/>
    <n v="1"/>
    <n v="134"/>
    <n v="2"/>
    <x v="3"/>
    <n v="1"/>
    <n v="3"/>
    <n v="90"/>
    <n v="3"/>
    <n v="1"/>
    <n v="2"/>
    <n v="2500"/>
    <n v="10515"/>
    <n v="0"/>
    <n v="14"/>
    <n v="3"/>
    <n v="1"/>
    <n v="80"/>
    <n v="0"/>
    <n v="4"/>
    <n v="4"/>
    <n v="3"/>
    <n v="1"/>
    <n v="0"/>
    <n v="2"/>
  </r>
  <r>
    <s v="Yes"/>
    <s v="Travel_Rarely"/>
    <x v="4"/>
    <s v="Ex-Employees"/>
    <x v="1"/>
    <x v="0"/>
    <s v="STAFF-243"/>
    <n v="243"/>
    <x v="1"/>
    <x v="2"/>
    <x v="0"/>
    <s v="No"/>
    <s v="Y"/>
    <n v="3"/>
    <n v="-2"/>
    <n v="0"/>
    <n v="19"/>
    <n v="1"/>
    <n v="1"/>
    <n v="1"/>
    <n v="0"/>
    <n v="303"/>
    <n v="2"/>
    <x v="3"/>
    <n v="1"/>
    <n v="2"/>
    <n v="47"/>
    <n v="2"/>
    <n v="1"/>
    <n v="2"/>
    <n v="1102"/>
    <n v="9241"/>
    <n v="1"/>
    <n v="22"/>
    <n v="4"/>
    <n v="3"/>
    <n v="80"/>
    <n v="0"/>
    <n v="1"/>
    <n v="2"/>
    <n v="1"/>
    <n v="0"/>
    <n v="1"/>
    <n v="0"/>
  </r>
  <r>
    <s v="No"/>
    <s v="Travel_Rarely"/>
    <x v="1"/>
    <s v="Current Employees"/>
    <x v="0"/>
    <x v="3"/>
    <s v="STAFF-244"/>
    <n v="244"/>
    <x v="0"/>
    <x v="0"/>
    <x v="2"/>
    <s v="No"/>
    <s v="Y"/>
    <n v="2"/>
    <n v="-2"/>
    <n v="0"/>
    <n v="46"/>
    <n v="0"/>
    <m/>
    <n v="0"/>
    <n v="1"/>
    <n v="526"/>
    <n v="1"/>
    <x v="0"/>
    <n v="1"/>
    <n v="2"/>
    <n v="92"/>
    <n v="3"/>
    <n v="3"/>
    <n v="1"/>
    <n v="10453"/>
    <n v="2137"/>
    <n v="1"/>
    <n v="25"/>
    <n v="4"/>
    <n v="3"/>
    <n v="80"/>
    <n v="3"/>
    <n v="24"/>
    <n v="3"/>
    <n v="24"/>
    <n v="13"/>
    <n v="15"/>
    <n v="7"/>
  </r>
  <r>
    <s v="No"/>
    <s v="Travel_Rarely"/>
    <x v="0"/>
    <s v="Current Employees"/>
    <x v="1"/>
    <x v="0"/>
    <s v="STAFF-245"/>
    <n v="245"/>
    <x v="0"/>
    <x v="2"/>
    <x v="0"/>
    <s v="No"/>
    <s v="Y"/>
    <n v="3"/>
    <n v="-2"/>
    <n v="0"/>
    <n v="38"/>
    <n v="0"/>
    <m/>
    <n v="0"/>
    <n v="1"/>
    <n v="1380"/>
    <n v="9"/>
    <x v="0"/>
    <n v="1"/>
    <n v="3"/>
    <n v="75"/>
    <n v="3"/>
    <n v="1"/>
    <n v="2"/>
    <n v="2288"/>
    <n v="6319"/>
    <n v="1"/>
    <n v="12"/>
    <n v="3"/>
    <n v="3"/>
    <n v="80"/>
    <n v="0"/>
    <n v="2"/>
    <n v="3"/>
    <n v="2"/>
    <n v="2"/>
    <n v="2"/>
    <n v="1"/>
  </r>
  <r>
    <s v="No"/>
    <s v="Travel_Rarely"/>
    <x v="2"/>
    <s v="Current Employees"/>
    <x v="1"/>
    <x v="2"/>
    <s v="STAFF-246"/>
    <n v="246"/>
    <x v="0"/>
    <x v="1"/>
    <x v="1"/>
    <s v="Yes"/>
    <s v="Y"/>
    <n v="0"/>
    <n v="-2"/>
    <n v="0"/>
    <n v="31"/>
    <n v="0"/>
    <m/>
    <n v="0"/>
    <n v="1"/>
    <n v="140"/>
    <n v="12"/>
    <x v="1"/>
    <n v="1"/>
    <n v="3"/>
    <n v="95"/>
    <n v="3"/>
    <n v="1"/>
    <n v="4"/>
    <n v="3929"/>
    <n v="6984"/>
    <n v="8"/>
    <n v="23"/>
    <n v="4"/>
    <n v="3"/>
    <n v="80"/>
    <n v="1"/>
    <n v="7"/>
    <n v="3"/>
    <n v="4"/>
    <n v="2"/>
    <n v="0"/>
    <n v="2"/>
  </r>
  <r>
    <s v="No"/>
    <s v="Travel_Rarely"/>
    <x v="2"/>
    <s v="Current Employees"/>
    <x v="1"/>
    <x v="2"/>
    <s v="STAFF-247"/>
    <n v="247"/>
    <x v="0"/>
    <x v="1"/>
    <x v="0"/>
    <s v="No"/>
    <s v="Y"/>
    <n v="3"/>
    <n v="-2"/>
    <n v="0"/>
    <n v="34"/>
    <n v="0"/>
    <m/>
    <n v="0"/>
    <n v="1"/>
    <n v="629"/>
    <n v="27"/>
    <x v="0"/>
    <n v="1"/>
    <n v="4"/>
    <n v="95"/>
    <n v="3"/>
    <n v="1"/>
    <n v="3"/>
    <n v="2311"/>
    <n v="5711"/>
    <n v="2"/>
    <n v="15"/>
    <n v="3"/>
    <n v="4"/>
    <n v="80"/>
    <n v="0"/>
    <n v="9"/>
    <n v="3"/>
    <n v="3"/>
    <n v="2"/>
    <n v="1"/>
    <n v="2"/>
  </r>
  <r>
    <s v="Yes"/>
    <s v="Travel_Rarely"/>
    <x v="0"/>
    <s v="Ex-Employees"/>
    <x v="0"/>
    <x v="3"/>
    <s v="STAFF-248"/>
    <n v="248"/>
    <x v="0"/>
    <x v="6"/>
    <x v="0"/>
    <s v="Yes"/>
    <s v="Y"/>
    <n v="5"/>
    <n v="-2"/>
    <n v="0"/>
    <n v="41"/>
    <n v="1"/>
    <n v="1"/>
    <n v="1"/>
    <n v="0"/>
    <n v="1356"/>
    <n v="20"/>
    <x v="0"/>
    <n v="1"/>
    <n v="2"/>
    <n v="70"/>
    <n v="3"/>
    <n v="1"/>
    <n v="3"/>
    <n v="3140"/>
    <n v="21728"/>
    <n v="1"/>
    <n v="22"/>
    <n v="4"/>
    <n v="4"/>
    <n v="80"/>
    <n v="0"/>
    <n v="4"/>
    <n v="2"/>
    <n v="4"/>
    <n v="3"/>
    <n v="0"/>
    <n v="2"/>
  </r>
  <r>
    <s v="No"/>
    <s v="Travel_Rarely"/>
    <x v="1"/>
    <s v="Current Employees"/>
    <x v="1"/>
    <x v="2"/>
    <s v="STAFF-249"/>
    <n v="249"/>
    <x v="1"/>
    <x v="2"/>
    <x v="1"/>
    <s v="No"/>
    <s v="Y"/>
    <n v="2"/>
    <n v="-2"/>
    <n v="0"/>
    <n v="50"/>
    <n v="0"/>
    <m/>
    <n v="0"/>
    <n v="1"/>
    <n v="328"/>
    <n v="1"/>
    <x v="3"/>
    <n v="1"/>
    <n v="3"/>
    <n v="86"/>
    <n v="2"/>
    <n v="1"/>
    <n v="3"/>
    <n v="3690"/>
    <n v="3425"/>
    <n v="2"/>
    <n v="15"/>
    <n v="3"/>
    <n v="4"/>
    <n v="80"/>
    <n v="1"/>
    <n v="5"/>
    <n v="2"/>
    <n v="3"/>
    <n v="2"/>
    <n v="0"/>
    <n v="2"/>
  </r>
  <r>
    <s v="No"/>
    <s v="Travel_Rarely"/>
    <x v="1"/>
    <s v="Current Employees"/>
    <x v="1"/>
    <x v="2"/>
    <s v="STAFF-250"/>
    <n v="250"/>
    <x v="0"/>
    <x v="3"/>
    <x v="2"/>
    <s v="No"/>
    <s v="Y"/>
    <n v="3"/>
    <n v="-2"/>
    <n v="0"/>
    <n v="53"/>
    <n v="0"/>
    <m/>
    <n v="0"/>
    <n v="1"/>
    <n v="1084"/>
    <n v="13"/>
    <x v="0"/>
    <n v="1"/>
    <n v="4"/>
    <n v="57"/>
    <n v="4"/>
    <n v="2"/>
    <n v="3"/>
    <n v="4450"/>
    <n v="26250"/>
    <n v="1"/>
    <n v="11"/>
    <n v="3"/>
    <n v="3"/>
    <n v="80"/>
    <n v="2"/>
    <n v="5"/>
    <n v="3"/>
    <n v="4"/>
    <n v="2"/>
    <n v="1"/>
    <n v="3"/>
  </r>
  <r>
    <s v="No"/>
    <s v="Travel_Rarely"/>
    <x v="2"/>
    <s v="Current Employees"/>
    <x v="1"/>
    <x v="2"/>
    <s v="STAFF-252"/>
    <n v="252"/>
    <x v="0"/>
    <x v="1"/>
    <x v="1"/>
    <s v="No"/>
    <s v="Y"/>
    <n v="5"/>
    <n v="-2"/>
    <n v="0"/>
    <n v="33"/>
    <n v="0"/>
    <m/>
    <n v="0"/>
    <n v="1"/>
    <n v="931"/>
    <n v="14"/>
    <x v="3"/>
    <n v="1"/>
    <n v="4"/>
    <n v="72"/>
    <n v="3"/>
    <n v="1"/>
    <n v="3"/>
    <n v="2756"/>
    <n v="4673"/>
    <n v="1"/>
    <n v="13"/>
    <n v="3"/>
    <n v="4"/>
    <n v="80"/>
    <n v="1"/>
    <n v="8"/>
    <n v="3"/>
    <n v="8"/>
    <n v="7"/>
    <n v="1"/>
    <n v="6"/>
  </r>
  <r>
    <s v="No"/>
    <s v="Travel_Rarely"/>
    <x v="0"/>
    <s v="Current Employees"/>
    <x v="1"/>
    <x v="2"/>
    <s v="STAFF-253"/>
    <n v="253"/>
    <x v="0"/>
    <x v="5"/>
    <x v="1"/>
    <s v="No"/>
    <s v="Y"/>
    <n v="2"/>
    <n v="-2"/>
    <n v="0"/>
    <n v="40"/>
    <n v="0"/>
    <m/>
    <n v="0"/>
    <n v="1"/>
    <n v="989"/>
    <n v="4"/>
    <x v="1"/>
    <n v="1"/>
    <n v="4"/>
    <n v="46"/>
    <n v="3"/>
    <n v="5"/>
    <n v="3"/>
    <n v="19033"/>
    <n v="6499"/>
    <n v="1"/>
    <n v="14"/>
    <n v="3"/>
    <n v="2"/>
    <n v="80"/>
    <n v="1"/>
    <n v="21"/>
    <n v="3"/>
    <n v="20"/>
    <n v="8"/>
    <n v="9"/>
    <n v="9"/>
  </r>
  <r>
    <s v="No"/>
    <s v="Travel_Rarely"/>
    <x v="3"/>
    <s v="Current Employees"/>
    <x v="1"/>
    <x v="2"/>
    <s v="STAFF-254"/>
    <n v="254"/>
    <x v="1"/>
    <x v="7"/>
    <x v="0"/>
    <s v="No"/>
    <s v="Y"/>
    <n v="3"/>
    <n v="-2"/>
    <n v="0"/>
    <n v="55"/>
    <n v="0"/>
    <m/>
    <n v="0"/>
    <n v="1"/>
    <n v="692"/>
    <n v="14"/>
    <x v="2"/>
    <n v="1"/>
    <n v="3"/>
    <n v="61"/>
    <n v="4"/>
    <n v="5"/>
    <n v="3"/>
    <n v="18722"/>
    <n v="13339"/>
    <n v="8"/>
    <n v="11"/>
    <n v="3"/>
    <n v="4"/>
    <n v="80"/>
    <n v="0"/>
    <n v="36"/>
    <n v="3"/>
    <n v="24"/>
    <n v="15"/>
    <n v="2"/>
    <n v="15"/>
  </r>
  <r>
    <s v="No"/>
    <s v="Travel_Frequently"/>
    <x v="2"/>
    <s v="Current Employees"/>
    <x v="1"/>
    <x v="0"/>
    <s v="STAFF-256"/>
    <n v="256"/>
    <x v="1"/>
    <x v="3"/>
    <x v="1"/>
    <s v="No"/>
    <s v="Y"/>
    <n v="2"/>
    <n v="-2"/>
    <n v="0"/>
    <n v="34"/>
    <n v="0"/>
    <m/>
    <n v="0"/>
    <n v="1"/>
    <n v="1069"/>
    <n v="2"/>
    <x v="1"/>
    <n v="1"/>
    <n v="4"/>
    <n v="45"/>
    <n v="2"/>
    <n v="2"/>
    <n v="2"/>
    <n v="9547"/>
    <n v="14074"/>
    <n v="1"/>
    <n v="17"/>
    <n v="3"/>
    <n v="3"/>
    <n v="80"/>
    <n v="0"/>
    <n v="10"/>
    <n v="2"/>
    <n v="10"/>
    <n v="9"/>
    <n v="1"/>
    <n v="9"/>
  </r>
  <r>
    <s v="No"/>
    <s v="Travel_Rarely"/>
    <x v="1"/>
    <s v="Current Employees"/>
    <x v="1"/>
    <x v="2"/>
    <s v="STAFF-258"/>
    <n v="258"/>
    <x v="0"/>
    <x v="4"/>
    <x v="0"/>
    <s v="No"/>
    <s v="Y"/>
    <n v="6"/>
    <n v="-2"/>
    <n v="0"/>
    <n v="51"/>
    <n v="0"/>
    <m/>
    <n v="0"/>
    <n v="1"/>
    <n v="313"/>
    <n v="3"/>
    <x v="3"/>
    <n v="1"/>
    <n v="4"/>
    <n v="98"/>
    <n v="3"/>
    <n v="4"/>
    <n v="3"/>
    <n v="13734"/>
    <n v="7192"/>
    <n v="3"/>
    <n v="18"/>
    <n v="3"/>
    <n v="3"/>
    <n v="80"/>
    <n v="0"/>
    <n v="21"/>
    <n v="3"/>
    <n v="7"/>
    <n v="7"/>
    <n v="1"/>
    <n v="0"/>
  </r>
  <r>
    <s v="No"/>
    <s v="Travel_Rarely"/>
    <x v="1"/>
    <s v="Current Employees"/>
    <x v="1"/>
    <x v="0"/>
    <s v="STAFF-259"/>
    <n v="259"/>
    <x v="1"/>
    <x v="5"/>
    <x v="1"/>
    <s v="No"/>
    <s v="Y"/>
    <n v="5"/>
    <n v="-2"/>
    <n v="0"/>
    <n v="52"/>
    <n v="0"/>
    <m/>
    <n v="0"/>
    <n v="1"/>
    <n v="699"/>
    <n v="1"/>
    <x v="2"/>
    <n v="1"/>
    <n v="3"/>
    <n v="65"/>
    <n v="2"/>
    <n v="5"/>
    <n v="2"/>
    <n v="19999"/>
    <n v="5678"/>
    <n v="0"/>
    <n v="14"/>
    <n v="3"/>
    <n v="1"/>
    <n v="80"/>
    <n v="1"/>
    <n v="34"/>
    <n v="3"/>
    <n v="33"/>
    <n v="18"/>
    <n v="11"/>
    <n v="9"/>
  </r>
  <r>
    <s v="No"/>
    <s v="Travel_Rarely"/>
    <x v="2"/>
    <s v="Current Employees"/>
    <x v="1"/>
    <x v="2"/>
    <s v="STAFF-260"/>
    <n v="260"/>
    <x v="0"/>
    <x v="1"/>
    <x v="0"/>
    <s v="No"/>
    <s v="Y"/>
    <n v="2"/>
    <n v="-2"/>
    <n v="0"/>
    <n v="27"/>
    <n v="0"/>
    <m/>
    <n v="0"/>
    <n v="1"/>
    <n v="894"/>
    <n v="9"/>
    <x v="3"/>
    <n v="1"/>
    <n v="4"/>
    <n v="99"/>
    <n v="3"/>
    <n v="1"/>
    <n v="3"/>
    <n v="2279"/>
    <n v="11781"/>
    <n v="1"/>
    <n v="16"/>
    <n v="3"/>
    <n v="4"/>
    <n v="80"/>
    <n v="0"/>
    <n v="7"/>
    <n v="2"/>
    <n v="7"/>
    <n v="7"/>
    <n v="0"/>
    <n v="3"/>
  </r>
  <r>
    <s v="Yes"/>
    <s v="Travel_Rarely"/>
    <x v="0"/>
    <s v="Ex-Employees"/>
    <x v="1"/>
    <x v="0"/>
    <s v="STAFF-261"/>
    <n v="261"/>
    <x v="1"/>
    <x v="3"/>
    <x v="1"/>
    <s v="Yes"/>
    <s v="Y"/>
    <n v="1"/>
    <n v="-2"/>
    <n v="0"/>
    <n v="35"/>
    <n v="1"/>
    <n v="1"/>
    <n v="1"/>
    <n v="0"/>
    <n v="556"/>
    <n v="23"/>
    <x v="0"/>
    <n v="1"/>
    <n v="2"/>
    <n v="50"/>
    <n v="2"/>
    <n v="2"/>
    <n v="2"/>
    <n v="5916"/>
    <n v="15497"/>
    <n v="3"/>
    <n v="13"/>
    <n v="3"/>
    <n v="1"/>
    <n v="80"/>
    <n v="0"/>
    <n v="8"/>
    <n v="3"/>
    <n v="1"/>
    <n v="0"/>
    <n v="0"/>
    <n v="1"/>
  </r>
  <r>
    <s v="No"/>
    <s v="Non-Travel"/>
    <x v="0"/>
    <s v="Current Employees"/>
    <x v="1"/>
    <x v="2"/>
    <s v="STAFF-262"/>
    <n v="262"/>
    <x v="1"/>
    <x v="1"/>
    <x v="2"/>
    <s v="No"/>
    <s v="Y"/>
    <n v="3"/>
    <n v="-2"/>
    <n v="0"/>
    <n v="43"/>
    <n v="0"/>
    <m/>
    <n v="0"/>
    <n v="1"/>
    <n v="1344"/>
    <n v="7"/>
    <x v="3"/>
    <n v="1"/>
    <n v="4"/>
    <n v="37"/>
    <n v="4"/>
    <n v="1"/>
    <n v="4"/>
    <n v="2089"/>
    <n v="5228"/>
    <n v="4"/>
    <n v="14"/>
    <n v="3"/>
    <n v="4"/>
    <n v="80"/>
    <n v="3"/>
    <n v="7"/>
    <n v="4"/>
    <n v="5"/>
    <n v="4"/>
    <n v="2"/>
    <n v="2"/>
  </r>
  <r>
    <s v="No"/>
    <s v="Non-Travel"/>
    <x v="1"/>
    <s v="Current Employees"/>
    <x v="1"/>
    <x v="2"/>
    <s v="STAFF-264"/>
    <n v="264"/>
    <x v="1"/>
    <x v="5"/>
    <x v="1"/>
    <s v="No"/>
    <s v="Y"/>
    <n v="1"/>
    <n v="-2"/>
    <n v="0"/>
    <n v="45"/>
    <n v="0"/>
    <m/>
    <n v="0"/>
    <n v="1"/>
    <n v="1195"/>
    <n v="2"/>
    <x v="0"/>
    <n v="1"/>
    <n v="1"/>
    <n v="65"/>
    <n v="2"/>
    <n v="4"/>
    <n v="4"/>
    <n v="16792"/>
    <n v="20462"/>
    <n v="9"/>
    <n v="23"/>
    <n v="4"/>
    <n v="4"/>
    <n v="80"/>
    <n v="1"/>
    <n v="22"/>
    <n v="3"/>
    <n v="20"/>
    <n v="8"/>
    <n v="11"/>
    <n v="8"/>
  </r>
  <r>
    <s v="No"/>
    <s v="Travel_Rarely"/>
    <x v="0"/>
    <s v="Current Employees"/>
    <x v="1"/>
    <x v="0"/>
    <s v="STAFF-267"/>
    <n v="267"/>
    <x v="1"/>
    <x v="1"/>
    <x v="1"/>
    <s v="Yes"/>
    <s v="Y"/>
    <n v="3"/>
    <n v="-2"/>
    <n v="0"/>
    <n v="37"/>
    <n v="0"/>
    <m/>
    <n v="0"/>
    <n v="1"/>
    <n v="290"/>
    <n v="21"/>
    <x v="3"/>
    <n v="1"/>
    <n v="2"/>
    <n v="65"/>
    <n v="4"/>
    <n v="1"/>
    <n v="2"/>
    <n v="3564"/>
    <n v="22977"/>
    <n v="1"/>
    <n v="12"/>
    <n v="3"/>
    <n v="1"/>
    <n v="80"/>
    <n v="1"/>
    <n v="8"/>
    <n v="2"/>
    <n v="8"/>
    <n v="7"/>
    <n v="1"/>
    <n v="7"/>
  </r>
  <r>
    <s v="No"/>
    <s v="Travel_Frequently"/>
    <x v="0"/>
    <s v="Current Employees"/>
    <x v="1"/>
    <x v="2"/>
    <s v="STAFF-269"/>
    <n v="269"/>
    <x v="0"/>
    <x v="2"/>
    <x v="0"/>
    <s v="No"/>
    <s v="Y"/>
    <n v="5"/>
    <n v="-2"/>
    <n v="0"/>
    <n v="35"/>
    <n v="0"/>
    <m/>
    <n v="0"/>
    <n v="1"/>
    <n v="138"/>
    <n v="2"/>
    <x v="3"/>
    <n v="1"/>
    <n v="2"/>
    <n v="37"/>
    <n v="3"/>
    <n v="2"/>
    <n v="3"/>
    <n v="4425"/>
    <n v="15986"/>
    <n v="5"/>
    <n v="11"/>
    <n v="3"/>
    <n v="4"/>
    <n v="80"/>
    <n v="0"/>
    <n v="10"/>
    <n v="3"/>
    <n v="6"/>
    <n v="2"/>
    <n v="1"/>
    <n v="2"/>
  </r>
  <r>
    <s v="No"/>
    <s v="Non-Travel"/>
    <x v="0"/>
    <s v="Current Employees"/>
    <x v="1"/>
    <x v="2"/>
    <s v="STAFF-270"/>
    <n v="270"/>
    <x v="0"/>
    <x v="3"/>
    <x v="2"/>
    <s v="No"/>
    <s v="Y"/>
    <n v="5"/>
    <n v="-2"/>
    <n v="0"/>
    <n v="42"/>
    <n v="0"/>
    <m/>
    <n v="0"/>
    <n v="1"/>
    <n v="926"/>
    <n v="21"/>
    <x v="0"/>
    <n v="1"/>
    <n v="3"/>
    <n v="36"/>
    <n v="3"/>
    <n v="2"/>
    <n v="3"/>
    <n v="5265"/>
    <n v="16439"/>
    <n v="2"/>
    <n v="16"/>
    <n v="3"/>
    <n v="2"/>
    <n v="80"/>
    <n v="1"/>
    <n v="11"/>
    <n v="3"/>
    <n v="5"/>
    <n v="3"/>
    <n v="0"/>
    <n v="2"/>
  </r>
  <r>
    <s v="No"/>
    <s v="Travel_Rarely"/>
    <x v="0"/>
    <s v="Current Employees"/>
    <x v="1"/>
    <x v="0"/>
    <s v="STAFF-271"/>
    <n v="271"/>
    <x v="1"/>
    <x v="3"/>
    <x v="1"/>
    <s v="No"/>
    <s v="Y"/>
    <n v="3"/>
    <n v="-2"/>
    <n v="0"/>
    <n v="38"/>
    <n v="0"/>
    <m/>
    <n v="0"/>
    <n v="1"/>
    <n v="1261"/>
    <n v="2"/>
    <x v="2"/>
    <n v="1"/>
    <n v="4"/>
    <n v="88"/>
    <n v="3"/>
    <n v="2"/>
    <n v="2"/>
    <n v="6553"/>
    <n v="7259"/>
    <n v="9"/>
    <n v="14"/>
    <n v="3"/>
    <n v="2"/>
    <n v="80"/>
    <n v="0"/>
    <n v="14"/>
    <n v="3"/>
    <n v="1"/>
    <n v="0"/>
    <n v="0"/>
    <n v="0"/>
  </r>
  <r>
    <s v="No"/>
    <s v="Travel_Rarely"/>
    <x v="0"/>
    <s v="Current Employees"/>
    <x v="1"/>
    <x v="4"/>
    <s v="STAFF-273"/>
    <n v="273"/>
    <x v="1"/>
    <x v="3"/>
    <x v="1"/>
    <s v="No"/>
    <s v="Y"/>
    <n v="3"/>
    <n v="-2"/>
    <n v="0"/>
    <n v="38"/>
    <n v="0"/>
    <m/>
    <n v="0"/>
    <n v="1"/>
    <n v="1084"/>
    <n v="29"/>
    <x v="3"/>
    <n v="1"/>
    <n v="4"/>
    <n v="54"/>
    <n v="3"/>
    <n v="2"/>
    <n v="4"/>
    <n v="6261"/>
    <n v="4185"/>
    <n v="3"/>
    <n v="18"/>
    <n v="3"/>
    <n v="1"/>
    <n v="80"/>
    <n v="1"/>
    <n v="9"/>
    <n v="1"/>
    <n v="7"/>
    <n v="7"/>
    <n v="1"/>
    <n v="7"/>
  </r>
  <r>
    <s v="No"/>
    <s v="Travel_Frequently"/>
    <x v="2"/>
    <s v="Current Employees"/>
    <x v="1"/>
    <x v="4"/>
    <s v="STAFF-274"/>
    <n v="274"/>
    <x v="1"/>
    <x v="3"/>
    <x v="1"/>
    <s v="No"/>
    <s v="Y"/>
    <n v="1"/>
    <n v="-2"/>
    <n v="0"/>
    <n v="27"/>
    <n v="0"/>
    <m/>
    <n v="0"/>
    <n v="1"/>
    <n v="472"/>
    <n v="1"/>
    <x v="1"/>
    <n v="1"/>
    <n v="3"/>
    <n v="60"/>
    <n v="2"/>
    <n v="2"/>
    <n v="4"/>
    <n v="4298"/>
    <n v="9679"/>
    <n v="5"/>
    <n v="19"/>
    <n v="3"/>
    <n v="3"/>
    <n v="80"/>
    <n v="1"/>
    <n v="6"/>
    <n v="3"/>
    <n v="2"/>
    <n v="2"/>
    <n v="2"/>
    <n v="0"/>
  </r>
  <r>
    <s v="No"/>
    <s v="Non-Travel"/>
    <x v="1"/>
    <s v="Current Employees"/>
    <x v="1"/>
    <x v="0"/>
    <s v="STAFF-275"/>
    <n v="275"/>
    <x v="1"/>
    <x v="3"/>
    <x v="2"/>
    <s v="Yes"/>
    <s v="Y"/>
    <n v="0"/>
    <n v="-2"/>
    <n v="0"/>
    <n v="49"/>
    <n v="0"/>
    <m/>
    <n v="0"/>
    <n v="1"/>
    <n v="1002"/>
    <n v="18"/>
    <x v="2"/>
    <n v="1"/>
    <n v="4"/>
    <n v="92"/>
    <n v="3"/>
    <n v="2"/>
    <n v="2"/>
    <n v="6804"/>
    <n v="23793"/>
    <n v="1"/>
    <n v="15"/>
    <n v="3"/>
    <n v="1"/>
    <n v="80"/>
    <n v="2"/>
    <n v="7"/>
    <n v="3"/>
    <n v="7"/>
    <n v="7"/>
    <n v="1"/>
    <n v="7"/>
  </r>
  <r>
    <s v="No"/>
    <s v="Travel_Frequently"/>
    <x v="2"/>
    <s v="Current Employees"/>
    <x v="1"/>
    <x v="2"/>
    <s v="STAFF-277"/>
    <n v="277"/>
    <x v="1"/>
    <x v="1"/>
    <x v="2"/>
    <s v="Yes"/>
    <s v="Y"/>
    <n v="4"/>
    <n v="-2"/>
    <n v="0"/>
    <n v="34"/>
    <n v="0"/>
    <m/>
    <n v="0"/>
    <n v="1"/>
    <n v="878"/>
    <n v="10"/>
    <x v="2"/>
    <n v="1"/>
    <n v="4"/>
    <n v="43"/>
    <n v="3"/>
    <n v="1"/>
    <n v="3"/>
    <n v="3815"/>
    <n v="5972"/>
    <n v="1"/>
    <n v="17"/>
    <n v="3"/>
    <n v="4"/>
    <n v="80"/>
    <n v="1"/>
    <n v="5"/>
    <n v="4"/>
    <n v="5"/>
    <n v="3"/>
    <n v="2"/>
    <n v="0"/>
  </r>
  <r>
    <s v="No"/>
    <s v="Travel_Rarely"/>
    <x v="0"/>
    <s v="Current Employees"/>
    <x v="1"/>
    <x v="2"/>
    <s v="STAFF-281"/>
    <n v="281"/>
    <x v="1"/>
    <x v="2"/>
    <x v="1"/>
    <s v="Yes"/>
    <s v="Y"/>
    <n v="2"/>
    <n v="-2"/>
    <n v="0"/>
    <n v="40"/>
    <n v="0"/>
    <m/>
    <n v="0"/>
    <n v="1"/>
    <n v="905"/>
    <n v="19"/>
    <x v="0"/>
    <n v="1"/>
    <n v="3"/>
    <n v="99"/>
    <n v="3"/>
    <n v="2"/>
    <n v="4"/>
    <n v="2741"/>
    <n v="16523"/>
    <n v="8"/>
    <n v="15"/>
    <n v="3"/>
    <n v="3"/>
    <n v="80"/>
    <n v="1"/>
    <n v="15"/>
    <n v="4"/>
    <n v="7"/>
    <n v="2"/>
    <n v="3"/>
    <n v="7"/>
  </r>
  <r>
    <s v="Yes"/>
    <s v="Travel_Rarely"/>
    <x v="0"/>
    <s v="Ex-Employees"/>
    <x v="1"/>
    <x v="2"/>
    <s v="STAFF-282"/>
    <n v="282"/>
    <x v="1"/>
    <x v="4"/>
    <x v="1"/>
    <s v="Yes"/>
    <s v="Y"/>
    <n v="2"/>
    <n v="-2"/>
    <n v="0"/>
    <n v="38"/>
    <n v="1"/>
    <n v="1"/>
    <n v="1"/>
    <n v="0"/>
    <n v="1180"/>
    <n v="29"/>
    <x v="1"/>
    <n v="1"/>
    <n v="2"/>
    <n v="70"/>
    <n v="3"/>
    <n v="2"/>
    <n v="3"/>
    <n v="6673"/>
    <n v="11354"/>
    <n v="7"/>
    <n v="19"/>
    <n v="3"/>
    <n v="2"/>
    <n v="80"/>
    <n v="0"/>
    <n v="17"/>
    <n v="3"/>
    <n v="1"/>
    <n v="0"/>
    <n v="0"/>
    <n v="0"/>
  </r>
  <r>
    <s v="Yes"/>
    <s v="Travel_Rarely"/>
    <x v="2"/>
    <s v="Ex-Employees"/>
    <x v="0"/>
    <x v="3"/>
    <s v="STAFF-283"/>
    <n v="283"/>
    <x v="0"/>
    <x v="0"/>
    <x v="1"/>
    <s v="No"/>
    <s v="Y"/>
    <n v="3"/>
    <n v="-2"/>
    <n v="0"/>
    <n v="29"/>
    <n v="1"/>
    <n v="1"/>
    <n v="1"/>
    <n v="0"/>
    <n v="121"/>
    <n v="27"/>
    <x v="3"/>
    <n v="1"/>
    <n v="2"/>
    <n v="35"/>
    <n v="3"/>
    <n v="3"/>
    <n v="4"/>
    <n v="7639"/>
    <n v="24525"/>
    <n v="1"/>
    <n v="22"/>
    <n v="4"/>
    <n v="4"/>
    <n v="80"/>
    <n v="3"/>
    <n v="10"/>
    <n v="2"/>
    <n v="10"/>
    <n v="4"/>
    <n v="1"/>
    <n v="9"/>
  </r>
  <r>
    <s v="No"/>
    <s v="Travel_Rarely"/>
    <x v="4"/>
    <s v="Current Employees"/>
    <x v="1"/>
    <x v="0"/>
    <s v="STAFF-284"/>
    <n v="284"/>
    <x v="1"/>
    <x v="1"/>
    <x v="2"/>
    <s v="Yes"/>
    <s v="Y"/>
    <n v="2"/>
    <n v="-2"/>
    <n v="0"/>
    <n v="22"/>
    <n v="0"/>
    <m/>
    <n v="0"/>
    <n v="1"/>
    <n v="1136"/>
    <n v="5"/>
    <x v="3"/>
    <n v="1"/>
    <n v="4"/>
    <n v="60"/>
    <n v="4"/>
    <n v="1"/>
    <n v="2"/>
    <n v="2328"/>
    <n v="12392"/>
    <n v="1"/>
    <n v="16"/>
    <n v="3"/>
    <n v="1"/>
    <n v="80"/>
    <n v="1"/>
    <n v="4"/>
    <n v="2"/>
    <n v="4"/>
    <n v="2"/>
    <n v="2"/>
    <n v="2"/>
  </r>
  <r>
    <s v="No"/>
    <s v="Travel_Frequently"/>
    <x v="0"/>
    <s v="Current Employees"/>
    <x v="1"/>
    <x v="2"/>
    <s v="STAFF-286"/>
    <n v="286"/>
    <x v="0"/>
    <x v="2"/>
    <x v="0"/>
    <s v="No"/>
    <s v="Y"/>
    <n v="2"/>
    <n v="-2"/>
    <n v="0"/>
    <n v="36"/>
    <n v="0"/>
    <m/>
    <n v="0"/>
    <n v="1"/>
    <n v="635"/>
    <n v="18"/>
    <x v="1"/>
    <n v="1"/>
    <n v="2"/>
    <n v="73"/>
    <n v="3"/>
    <n v="1"/>
    <n v="4"/>
    <n v="2153"/>
    <n v="7703"/>
    <n v="1"/>
    <n v="13"/>
    <n v="3"/>
    <n v="1"/>
    <n v="80"/>
    <n v="0"/>
    <n v="8"/>
    <n v="3"/>
    <n v="8"/>
    <n v="1"/>
    <n v="1"/>
    <n v="7"/>
  </r>
  <r>
    <s v="No"/>
    <s v="Non-Travel"/>
    <x v="0"/>
    <s v="Current Employees"/>
    <x v="1"/>
    <x v="0"/>
    <s v="STAFF-287"/>
    <n v="287"/>
    <x v="1"/>
    <x v="4"/>
    <x v="1"/>
    <s v="No"/>
    <s v="Y"/>
    <n v="5"/>
    <n v="-2"/>
    <n v="0"/>
    <n v="40"/>
    <n v="0"/>
    <m/>
    <n v="0"/>
    <n v="1"/>
    <n v="1151"/>
    <n v="9"/>
    <x v="4"/>
    <n v="1"/>
    <n v="4"/>
    <n v="63"/>
    <n v="2"/>
    <n v="2"/>
    <n v="2"/>
    <n v="4876"/>
    <n v="14242"/>
    <n v="9"/>
    <n v="14"/>
    <n v="3"/>
    <n v="4"/>
    <n v="80"/>
    <n v="1"/>
    <n v="5"/>
    <n v="1"/>
    <n v="3"/>
    <n v="2"/>
    <n v="0"/>
    <n v="2"/>
  </r>
  <r>
    <s v="No"/>
    <s v="Travel_Rarely"/>
    <x v="1"/>
    <s v="Current Employees"/>
    <x v="1"/>
    <x v="2"/>
    <s v="STAFF-288"/>
    <n v="288"/>
    <x v="1"/>
    <x v="4"/>
    <x v="2"/>
    <s v="No"/>
    <s v="Y"/>
    <n v="3"/>
    <n v="-2"/>
    <n v="0"/>
    <n v="46"/>
    <n v="0"/>
    <m/>
    <n v="0"/>
    <n v="1"/>
    <n v="644"/>
    <n v="1"/>
    <x v="2"/>
    <n v="1"/>
    <n v="4"/>
    <n v="97"/>
    <n v="3"/>
    <n v="3"/>
    <n v="3"/>
    <n v="9396"/>
    <n v="12368"/>
    <n v="7"/>
    <n v="16"/>
    <n v="3"/>
    <n v="3"/>
    <n v="80"/>
    <n v="1"/>
    <n v="17"/>
    <n v="3"/>
    <n v="4"/>
    <n v="2"/>
    <n v="0"/>
    <n v="3"/>
  </r>
  <r>
    <s v="Yes"/>
    <s v="Travel_Rarely"/>
    <x v="2"/>
    <s v="Ex-Employees"/>
    <x v="0"/>
    <x v="2"/>
    <s v="STAFF-291"/>
    <n v="291"/>
    <x v="1"/>
    <x v="0"/>
    <x v="1"/>
    <s v="No"/>
    <s v="Y"/>
    <n v="2"/>
    <n v="-2"/>
    <n v="0"/>
    <n v="32"/>
    <n v="1"/>
    <n v="1"/>
    <n v="1"/>
    <n v="0"/>
    <n v="1045"/>
    <n v="4"/>
    <x v="2"/>
    <n v="1"/>
    <n v="4"/>
    <n v="32"/>
    <n v="1"/>
    <n v="3"/>
    <n v="4"/>
    <n v="10400"/>
    <n v="25812"/>
    <n v="1"/>
    <n v="11"/>
    <n v="3"/>
    <n v="3"/>
    <n v="80"/>
    <n v="0"/>
    <n v="14"/>
    <n v="2"/>
    <n v="14"/>
    <n v="8"/>
    <n v="9"/>
    <n v="8"/>
  </r>
  <r>
    <s v="No"/>
    <s v="Non-Travel"/>
    <x v="2"/>
    <s v="Current Employees"/>
    <x v="1"/>
    <x v="0"/>
    <s v="STAFF-292"/>
    <n v="292"/>
    <x v="1"/>
    <x v="3"/>
    <x v="0"/>
    <s v="No"/>
    <s v="Y"/>
    <n v="2"/>
    <n v="-2"/>
    <n v="0"/>
    <n v="30"/>
    <n v="0"/>
    <m/>
    <n v="0"/>
    <n v="1"/>
    <n v="829"/>
    <n v="1"/>
    <x v="1"/>
    <n v="1"/>
    <n v="3"/>
    <n v="88"/>
    <n v="2"/>
    <n v="3"/>
    <n v="2"/>
    <n v="8474"/>
    <n v="20925"/>
    <n v="1"/>
    <n v="22"/>
    <n v="4"/>
    <n v="3"/>
    <n v="80"/>
    <n v="0"/>
    <n v="12"/>
    <n v="3"/>
    <n v="11"/>
    <n v="8"/>
    <n v="5"/>
    <n v="8"/>
  </r>
  <r>
    <s v="No"/>
    <s v="Travel_Frequently"/>
    <x v="2"/>
    <s v="Current Employees"/>
    <x v="0"/>
    <x v="0"/>
    <s v="STAFF-293"/>
    <n v="293"/>
    <x v="0"/>
    <x v="0"/>
    <x v="0"/>
    <s v="No"/>
    <s v="Y"/>
    <n v="2"/>
    <n v="-2"/>
    <n v="0"/>
    <n v="27"/>
    <n v="0"/>
    <m/>
    <n v="0"/>
    <n v="1"/>
    <n v="1242"/>
    <n v="20"/>
    <x v="3"/>
    <n v="1"/>
    <n v="4"/>
    <n v="90"/>
    <n v="3"/>
    <n v="2"/>
    <n v="2"/>
    <n v="9981"/>
    <n v="12916"/>
    <n v="1"/>
    <n v="14"/>
    <n v="3"/>
    <n v="4"/>
    <n v="80"/>
    <n v="0"/>
    <n v="7"/>
    <n v="3"/>
    <n v="7"/>
    <n v="7"/>
    <n v="0"/>
    <n v="7"/>
  </r>
  <r>
    <s v="No"/>
    <s v="Travel_Rarely"/>
    <x v="1"/>
    <s v="Current Employees"/>
    <x v="1"/>
    <x v="0"/>
    <s v="STAFF-296"/>
    <n v="296"/>
    <x v="1"/>
    <x v="7"/>
    <x v="1"/>
    <s v="No"/>
    <s v="Y"/>
    <n v="5"/>
    <n v="-2"/>
    <n v="0"/>
    <n v="51"/>
    <n v="0"/>
    <m/>
    <n v="0"/>
    <n v="1"/>
    <n v="1469"/>
    <n v="8"/>
    <x v="2"/>
    <n v="1"/>
    <n v="2"/>
    <n v="81"/>
    <n v="2"/>
    <n v="3"/>
    <n v="2"/>
    <n v="12490"/>
    <n v="15736"/>
    <n v="5"/>
    <n v="16"/>
    <n v="3"/>
    <n v="4"/>
    <n v="80"/>
    <n v="2"/>
    <n v="16"/>
    <n v="1"/>
    <n v="10"/>
    <n v="9"/>
    <n v="4"/>
    <n v="7"/>
  </r>
  <r>
    <s v="Yes"/>
    <s v="Travel_Rarely"/>
    <x v="2"/>
    <s v="Ex-Employees"/>
    <x v="1"/>
    <x v="4"/>
    <s v="STAFF-297"/>
    <n v="297"/>
    <x v="0"/>
    <x v="1"/>
    <x v="0"/>
    <s v="Yes"/>
    <s v="Y"/>
    <n v="5"/>
    <n v="-2"/>
    <n v="0"/>
    <n v="30"/>
    <n v="1"/>
    <n v="1"/>
    <n v="1"/>
    <n v="0"/>
    <n v="1005"/>
    <n v="3"/>
    <x v="3"/>
    <n v="1"/>
    <n v="4"/>
    <n v="88"/>
    <n v="3"/>
    <n v="1"/>
    <n v="4"/>
    <n v="2657"/>
    <n v="8556"/>
    <n v="5"/>
    <n v="11"/>
    <n v="3"/>
    <n v="3"/>
    <n v="80"/>
    <n v="0"/>
    <n v="8"/>
    <n v="3"/>
    <n v="5"/>
    <n v="2"/>
    <n v="0"/>
    <n v="4"/>
  </r>
  <r>
    <s v="No"/>
    <s v="Travel_Rarely"/>
    <x v="0"/>
    <s v="Current Employees"/>
    <x v="0"/>
    <x v="0"/>
    <s v="STAFF-298"/>
    <n v="298"/>
    <x v="0"/>
    <x v="5"/>
    <x v="0"/>
    <s v="Yes"/>
    <s v="Y"/>
    <n v="3"/>
    <n v="-2"/>
    <n v="0"/>
    <n v="41"/>
    <n v="0"/>
    <m/>
    <n v="0"/>
    <n v="1"/>
    <n v="896"/>
    <n v="6"/>
    <x v="3"/>
    <n v="1"/>
    <n v="4"/>
    <n v="75"/>
    <n v="3"/>
    <n v="3"/>
    <n v="2"/>
    <n v="13591"/>
    <n v="14674"/>
    <n v="3"/>
    <n v="18"/>
    <n v="3"/>
    <n v="3"/>
    <n v="80"/>
    <n v="0"/>
    <n v="16"/>
    <n v="3"/>
    <n v="1"/>
    <n v="0"/>
    <n v="0"/>
    <n v="0"/>
  </r>
  <r>
    <s v="Yes"/>
    <s v="Travel_Frequently"/>
    <x v="2"/>
    <s v="Ex-Employees"/>
    <x v="0"/>
    <x v="3"/>
    <s v="STAFF-299"/>
    <n v="299"/>
    <x v="0"/>
    <x v="0"/>
    <x v="0"/>
    <s v="No"/>
    <s v="Y"/>
    <n v="5"/>
    <n v="-2"/>
    <n v="0"/>
    <n v="30"/>
    <n v="1"/>
    <n v="1"/>
    <n v="1"/>
    <n v="0"/>
    <n v="334"/>
    <n v="26"/>
    <x v="2"/>
    <n v="1"/>
    <n v="3"/>
    <n v="52"/>
    <n v="2"/>
    <n v="2"/>
    <n v="3"/>
    <n v="6696"/>
    <n v="22967"/>
    <n v="5"/>
    <n v="15"/>
    <n v="3"/>
    <n v="3"/>
    <n v="80"/>
    <n v="0"/>
    <n v="9"/>
    <n v="2"/>
    <n v="6"/>
    <n v="3"/>
    <n v="0"/>
    <n v="1"/>
  </r>
  <r>
    <s v="Yes"/>
    <s v="Travel_Rarely"/>
    <x v="2"/>
    <s v="Ex-Employees"/>
    <x v="1"/>
    <x v="4"/>
    <s v="STAFF-300"/>
    <n v="300"/>
    <x v="1"/>
    <x v="1"/>
    <x v="0"/>
    <s v="No"/>
    <s v="Y"/>
    <n v="1"/>
    <n v="-2"/>
    <n v="0"/>
    <n v="29"/>
    <n v="1"/>
    <n v="1"/>
    <n v="1"/>
    <n v="0"/>
    <n v="992"/>
    <n v="1"/>
    <x v="3"/>
    <n v="1"/>
    <n v="3"/>
    <n v="85"/>
    <n v="3"/>
    <n v="1"/>
    <n v="4"/>
    <n v="2058"/>
    <n v="19757"/>
    <n v="0"/>
    <n v="14"/>
    <n v="3"/>
    <n v="4"/>
    <n v="80"/>
    <n v="0"/>
    <n v="7"/>
    <n v="2"/>
    <n v="6"/>
    <n v="2"/>
    <n v="1"/>
    <n v="5"/>
  </r>
  <r>
    <s v="No"/>
    <s v="Non-Travel"/>
    <x v="1"/>
    <s v="Current Employees"/>
    <x v="0"/>
    <x v="2"/>
    <s v="STAFF-302"/>
    <n v="302"/>
    <x v="0"/>
    <x v="0"/>
    <x v="0"/>
    <s v="No"/>
    <s v="Y"/>
    <n v="2"/>
    <n v="-2"/>
    <n v="0"/>
    <n v="45"/>
    <n v="0"/>
    <m/>
    <n v="0"/>
    <n v="1"/>
    <n v="1052"/>
    <n v="6"/>
    <x v="3"/>
    <n v="1"/>
    <n v="4"/>
    <n v="57"/>
    <n v="2"/>
    <n v="3"/>
    <n v="4"/>
    <n v="8865"/>
    <n v="16840"/>
    <n v="6"/>
    <n v="12"/>
    <n v="3"/>
    <n v="4"/>
    <n v="80"/>
    <n v="0"/>
    <n v="23"/>
    <n v="3"/>
    <n v="19"/>
    <n v="7"/>
    <n v="12"/>
    <n v="8"/>
  </r>
  <r>
    <s v="No"/>
    <s v="Travel_Rarely"/>
    <x v="1"/>
    <s v="Current Employees"/>
    <x v="0"/>
    <x v="3"/>
    <s v="STAFF-303"/>
    <n v="303"/>
    <x v="0"/>
    <x v="0"/>
    <x v="1"/>
    <s v="No"/>
    <s v="Y"/>
    <n v="4"/>
    <n v="-2"/>
    <n v="0"/>
    <n v="54"/>
    <n v="0"/>
    <m/>
    <n v="0"/>
    <n v="1"/>
    <n v="1147"/>
    <n v="3"/>
    <x v="3"/>
    <n v="1"/>
    <n v="4"/>
    <n v="52"/>
    <n v="3"/>
    <n v="2"/>
    <n v="1"/>
    <n v="5940"/>
    <n v="17011"/>
    <n v="2"/>
    <n v="14"/>
    <n v="3"/>
    <n v="4"/>
    <n v="80"/>
    <n v="1"/>
    <n v="16"/>
    <n v="3"/>
    <n v="6"/>
    <n v="2"/>
    <n v="0"/>
    <n v="5"/>
  </r>
  <r>
    <s v="No"/>
    <s v="Travel_Rarely"/>
    <x v="0"/>
    <s v="Current Employees"/>
    <x v="1"/>
    <x v="0"/>
    <s v="STAFF-304"/>
    <n v="304"/>
    <x v="1"/>
    <x v="2"/>
    <x v="0"/>
    <s v="No"/>
    <s v="Y"/>
    <n v="3"/>
    <n v="-2"/>
    <n v="0"/>
    <n v="36"/>
    <n v="0"/>
    <m/>
    <n v="0"/>
    <n v="1"/>
    <n v="1396"/>
    <n v="5"/>
    <x v="0"/>
    <n v="1"/>
    <n v="4"/>
    <n v="62"/>
    <n v="3"/>
    <n v="2"/>
    <n v="2"/>
    <n v="5914"/>
    <n v="9945"/>
    <n v="8"/>
    <n v="16"/>
    <n v="3"/>
    <n v="4"/>
    <n v="80"/>
    <n v="0"/>
    <n v="16"/>
    <n v="4"/>
    <n v="13"/>
    <n v="11"/>
    <n v="3"/>
    <n v="7"/>
  </r>
  <r>
    <s v="No"/>
    <s v="Travel_Rarely"/>
    <x v="2"/>
    <s v="Current Employees"/>
    <x v="1"/>
    <x v="2"/>
    <s v="STAFF-305"/>
    <n v="305"/>
    <x v="0"/>
    <x v="1"/>
    <x v="1"/>
    <s v="No"/>
    <s v="Y"/>
    <n v="3"/>
    <n v="-2"/>
    <n v="0"/>
    <n v="33"/>
    <n v="0"/>
    <m/>
    <n v="0"/>
    <n v="1"/>
    <n v="147"/>
    <n v="4"/>
    <x v="2"/>
    <n v="1"/>
    <n v="3"/>
    <n v="47"/>
    <n v="2"/>
    <n v="1"/>
    <n v="3"/>
    <n v="2622"/>
    <n v="13248"/>
    <n v="6"/>
    <n v="21"/>
    <n v="4"/>
    <n v="4"/>
    <n v="80"/>
    <n v="0"/>
    <n v="7"/>
    <n v="3"/>
    <n v="3"/>
    <n v="2"/>
    <n v="1"/>
    <n v="1"/>
  </r>
  <r>
    <s v="No"/>
    <s v="Travel_Frequently"/>
    <x v="0"/>
    <s v="Current Employees"/>
    <x v="1"/>
    <x v="1"/>
    <s v="STAFF-306"/>
    <n v="306"/>
    <x v="1"/>
    <x v="7"/>
    <x v="2"/>
    <s v="Yes"/>
    <s v="Y"/>
    <n v="1"/>
    <n v="-2"/>
    <n v="0"/>
    <n v="37"/>
    <n v="0"/>
    <m/>
    <n v="0"/>
    <n v="1"/>
    <n v="663"/>
    <n v="11"/>
    <x v="3"/>
    <n v="1"/>
    <n v="2"/>
    <n v="47"/>
    <n v="3"/>
    <n v="3"/>
    <n v="4"/>
    <n v="12185"/>
    <n v="10056"/>
    <n v="1"/>
    <n v="14"/>
    <n v="3"/>
    <n v="3"/>
    <n v="80"/>
    <n v="3"/>
    <n v="10"/>
    <n v="3"/>
    <n v="10"/>
    <n v="8"/>
    <n v="0"/>
    <n v="7"/>
  </r>
  <r>
    <s v="No"/>
    <s v="Travel_Rarely"/>
    <x v="0"/>
    <s v="Current Employees"/>
    <x v="0"/>
    <x v="0"/>
    <s v="STAFF-307"/>
    <n v="307"/>
    <x v="1"/>
    <x v="0"/>
    <x v="2"/>
    <s v="No"/>
    <s v="Y"/>
    <n v="6"/>
    <n v="-2"/>
    <n v="0"/>
    <n v="38"/>
    <n v="0"/>
    <m/>
    <n v="0"/>
    <n v="1"/>
    <n v="119"/>
    <n v="3"/>
    <x v="3"/>
    <n v="1"/>
    <n v="1"/>
    <n v="76"/>
    <n v="3"/>
    <n v="3"/>
    <n v="2"/>
    <n v="10609"/>
    <n v="9647"/>
    <n v="0"/>
    <n v="12"/>
    <n v="3"/>
    <n v="3"/>
    <n v="80"/>
    <n v="2"/>
    <n v="17"/>
    <n v="2"/>
    <n v="16"/>
    <n v="10"/>
    <n v="5"/>
    <n v="13"/>
  </r>
  <r>
    <s v="No"/>
    <s v="Non-Travel"/>
    <x v="2"/>
    <s v="Current Employees"/>
    <x v="1"/>
    <x v="2"/>
    <s v="STAFF-308"/>
    <n v="308"/>
    <x v="1"/>
    <x v="3"/>
    <x v="1"/>
    <s v="No"/>
    <s v="Y"/>
    <n v="2"/>
    <n v="-2"/>
    <n v="0"/>
    <n v="31"/>
    <n v="0"/>
    <m/>
    <n v="0"/>
    <n v="1"/>
    <n v="979"/>
    <n v="1"/>
    <x v="2"/>
    <n v="1"/>
    <n v="3"/>
    <n v="90"/>
    <n v="1"/>
    <n v="2"/>
    <n v="3"/>
    <n v="4345"/>
    <n v="4381"/>
    <n v="0"/>
    <n v="12"/>
    <n v="3"/>
    <n v="4"/>
    <n v="80"/>
    <n v="1"/>
    <n v="6"/>
    <n v="3"/>
    <n v="5"/>
    <n v="4"/>
    <n v="1"/>
    <n v="4"/>
  </r>
  <r>
    <s v="No"/>
    <s v="Travel_Rarely"/>
    <x v="3"/>
    <s v="Current Employees"/>
    <x v="1"/>
    <x v="0"/>
    <s v="STAFF-309"/>
    <n v="309"/>
    <x v="1"/>
    <x v="1"/>
    <x v="1"/>
    <s v="No"/>
    <s v="Y"/>
    <n v="6"/>
    <n v="-2"/>
    <n v="0"/>
    <n v="59"/>
    <n v="0"/>
    <m/>
    <n v="0"/>
    <n v="1"/>
    <n v="142"/>
    <n v="3"/>
    <x v="3"/>
    <n v="1"/>
    <n v="3"/>
    <n v="70"/>
    <n v="2"/>
    <n v="1"/>
    <n v="2"/>
    <n v="2177"/>
    <n v="8456"/>
    <n v="3"/>
    <n v="17"/>
    <n v="3"/>
    <n v="1"/>
    <n v="80"/>
    <n v="1"/>
    <n v="7"/>
    <n v="3"/>
    <n v="1"/>
    <n v="0"/>
    <n v="0"/>
    <n v="0"/>
  </r>
  <r>
    <s v="No"/>
    <s v="Travel_Frequently"/>
    <x v="0"/>
    <s v="Current Employees"/>
    <x v="0"/>
    <x v="3"/>
    <s v="STAFF-311"/>
    <n v="311"/>
    <x v="1"/>
    <x v="6"/>
    <x v="2"/>
    <s v="No"/>
    <s v="Y"/>
    <n v="2"/>
    <n v="-2"/>
    <n v="0"/>
    <n v="37"/>
    <n v="0"/>
    <m/>
    <n v="0"/>
    <n v="1"/>
    <n v="319"/>
    <n v="4"/>
    <x v="2"/>
    <n v="1"/>
    <n v="1"/>
    <n v="41"/>
    <n v="3"/>
    <n v="1"/>
    <n v="1"/>
    <n v="2793"/>
    <n v="2539"/>
    <n v="4"/>
    <n v="17"/>
    <n v="3"/>
    <n v="3"/>
    <n v="80"/>
    <n v="1"/>
    <n v="13"/>
    <n v="3"/>
    <n v="9"/>
    <n v="8"/>
    <n v="5"/>
    <n v="8"/>
  </r>
  <r>
    <s v="No"/>
    <s v="Travel_Frequently"/>
    <x v="2"/>
    <s v="Current Employees"/>
    <x v="0"/>
    <x v="2"/>
    <s v="STAFF-312"/>
    <n v="312"/>
    <x v="0"/>
    <x v="0"/>
    <x v="1"/>
    <s v="No"/>
    <s v="Y"/>
    <n v="5"/>
    <n v="-2"/>
    <n v="0"/>
    <n v="29"/>
    <n v="0"/>
    <m/>
    <n v="0"/>
    <n v="1"/>
    <n v="1413"/>
    <n v="1"/>
    <x v="1"/>
    <n v="1"/>
    <n v="2"/>
    <n v="42"/>
    <n v="3"/>
    <n v="3"/>
    <n v="4"/>
    <n v="7918"/>
    <n v="6599"/>
    <n v="1"/>
    <n v="14"/>
    <n v="3"/>
    <n v="4"/>
    <n v="80"/>
    <n v="1"/>
    <n v="11"/>
    <n v="3"/>
    <n v="11"/>
    <n v="10"/>
    <n v="4"/>
    <n v="1"/>
  </r>
  <r>
    <s v="No"/>
    <s v="Travel_Frequently"/>
    <x v="0"/>
    <s v="Current Employees"/>
    <x v="0"/>
    <x v="3"/>
    <s v="STAFF-314"/>
    <n v="314"/>
    <x v="0"/>
    <x v="0"/>
    <x v="0"/>
    <s v="No"/>
    <s v="Y"/>
    <n v="3"/>
    <n v="-2"/>
    <n v="0"/>
    <n v="35"/>
    <n v="0"/>
    <m/>
    <n v="0"/>
    <n v="1"/>
    <n v="944"/>
    <n v="1"/>
    <x v="3"/>
    <n v="1"/>
    <n v="3"/>
    <n v="92"/>
    <n v="3"/>
    <n v="3"/>
    <n v="1"/>
    <n v="8789"/>
    <n v="9096"/>
    <n v="1"/>
    <n v="14"/>
    <n v="3"/>
    <n v="1"/>
    <n v="80"/>
    <n v="0"/>
    <n v="10"/>
    <n v="4"/>
    <n v="10"/>
    <n v="7"/>
    <n v="0"/>
    <n v="8"/>
  </r>
  <r>
    <s v="Yes"/>
    <s v="Travel_Rarely"/>
    <x v="2"/>
    <s v="Ex-Employees"/>
    <x v="1"/>
    <x v="2"/>
    <s v="STAFF-315"/>
    <n v="315"/>
    <x v="1"/>
    <x v="1"/>
    <x v="0"/>
    <s v="Yes"/>
    <s v="Y"/>
    <n v="3"/>
    <n v="-2"/>
    <n v="0"/>
    <n v="29"/>
    <n v="1"/>
    <n v="1"/>
    <n v="1"/>
    <n v="0"/>
    <n v="896"/>
    <n v="18"/>
    <x v="1"/>
    <n v="1"/>
    <n v="3"/>
    <n v="86"/>
    <n v="2"/>
    <n v="1"/>
    <n v="4"/>
    <n v="2389"/>
    <n v="14961"/>
    <n v="1"/>
    <n v="13"/>
    <n v="3"/>
    <n v="3"/>
    <n v="80"/>
    <n v="0"/>
    <n v="4"/>
    <n v="2"/>
    <n v="4"/>
    <n v="3"/>
    <n v="0"/>
    <n v="1"/>
  </r>
  <r>
    <s v="No"/>
    <s v="Travel_Rarely"/>
    <x v="1"/>
    <s v="Current Employees"/>
    <x v="1"/>
    <x v="0"/>
    <s v="STAFF-316"/>
    <n v="316"/>
    <x v="0"/>
    <x v="2"/>
    <x v="0"/>
    <s v="No"/>
    <s v="Y"/>
    <n v="3"/>
    <n v="-2"/>
    <n v="0"/>
    <n v="52"/>
    <n v="0"/>
    <m/>
    <n v="0"/>
    <n v="1"/>
    <n v="1323"/>
    <n v="2"/>
    <x v="3"/>
    <n v="1"/>
    <n v="3"/>
    <n v="89"/>
    <n v="2"/>
    <n v="1"/>
    <n v="2"/>
    <n v="3212"/>
    <n v="3300"/>
    <n v="7"/>
    <n v="15"/>
    <n v="3"/>
    <n v="2"/>
    <n v="80"/>
    <n v="0"/>
    <n v="6"/>
    <n v="2"/>
    <n v="2"/>
    <n v="2"/>
    <n v="2"/>
    <n v="2"/>
  </r>
  <r>
    <s v="No"/>
    <s v="Travel_Rarely"/>
    <x v="0"/>
    <s v="Current Employees"/>
    <x v="1"/>
    <x v="4"/>
    <s v="STAFF-319"/>
    <n v="319"/>
    <x v="1"/>
    <x v="5"/>
    <x v="1"/>
    <s v="No"/>
    <s v="Y"/>
    <n v="3"/>
    <n v="-2"/>
    <n v="0"/>
    <n v="42"/>
    <n v="0"/>
    <m/>
    <n v="0"/>
    <n v="1"/>
    <n v="532"/>
    <n v="4"/>
    <x v="0"/>
    <n v="1"/>
    <n v="3"/>
    <n v="58"/>
    <n v="3"/>
    <n v="5"/>
    <n v="4"/>
    <n v="19232"/>
    <n v="4933"/>
    <n v="1"/>
    <n v="11"/>
    <n v="3"/>
    <n v="4"/>
    <n v="80"/>
    <n v="0"/>
    <n v="22"/>
    <n v="3"/>
    <n v="22"/>
    <n v="17"/>
    <n v="11"/>
    <n v="15"/>
  </r>
  <r>
    <s v="No"/>
    <s v="Travel_Rarely"/>
    <x v="3"/>
    <s v="Current Employees"/>
    <x v="2"/>
    <x v="2"/>
    <s v="STAFF-321"/>
    <n v="321"/>
    <x v="1"/>
    <x v="8"/>
    <x v="1"/>
    <s v="No"/>
    <s v="Y"/>
    <n v="2"/>
    <n v="-2"/>
    <n v="0"/>
    <n v="59"/>
    <n v="0"/>
    <m/>
    <n v="0"/>
    <n v="1"/>
    <n v="818"/>
    <n v="6"/>
    <x v="0"/>
    <n v="1"/>
    <n v="2"/>
    <n v="52"/>
    <n v="3"/>
    <n v="1"/>
    <n v="3"/>
    <n v="2267"/>
    <n v="25657"/>
    <n v="8"/>
    <n v="17"/>
    <n v="3"/>
    <n v="4"/>
    <n v="80"/>
    <n v="0"/>
    <n v="7"/>
    <n v="2"/>
    <n v="2"/>
    <n v="2"/>
    <n v="2"/>
    <n v="2"/>
  </r>
  <r>
    <s v="No"/>
    <s v="Travel_Rarely"/>
    <x v="1"/>
    <s v="Current Employees"/>
    <x v="0"/>
    <x v="2"/>
    <s v="STAFF-323"/>
    <n v="323"/>
    <x v="0"/>
    <x v="5"/>
    <x v="2"/>
    <s v="No"/>
    <s v="Y"/>
    <n v="3"/>
    <n v="-2"/>
    <n v="0"/>
    <n v="50"/>
    <n v="0"/>
    <m/>
    <n v="0"/>
    <n v="1"/>
    <n v="854"/>
    <n v="1"/>
    <x v="2"/>
    <n v="1"/>
    <n v="4"/>
    <n v="68"/>
    <n v="3"/>
    <n v="5"/>
    <n v="4"/>
    <n v="19517"/>
    <n v="24118"/>
    <n v="3"/>
    <n v="11"/>
    <n v="3"/>
    <n v="3"/>
    <n v="80"/>
    <n v="1"/>
    <n v="32"/>
    <n v="2"/>
    <n v="7"/>
    <n v="0"/>
    <n v="0"/>
    <n v="6"/>
  </r>
  <r>
    <s v="Yes"/>
    <s v="Travel_Rarely"/>
    <x v="2"/>
    <s v="Ex-Employees"/>
    <x v="1"/>
    <x v="2"/>
    <s v="STAFF-325"/>
    <n v="325"/>
    <x v="1"/>
    <x v="2"/>
    <x v="1"/>
    <s v="Yes"/>
    <s v="Y"/>
    <n v="2"/>
    <n v="-2"/>
    <n v="0"/>
    <n v="33"/>
    <n v="1"/>
    <n v="1"/>
    <n v="1"/>
    <n v="0"/>
    <n v="813"/>
    <n v="14"/>
    <x v="3"/>
    <n v="1"/>
    <n v="3"/>
    <n v="58"/>
    <n v="3"/>
    <n v="1"/>
    <n v="4"/>
    <n v="2436"/>
    <n v="22149"/>
    <n v="5"/>
    <n v="13"/>
    <n v="3"/>
    <n v="3"/>
    <n v="80"/>
    <n v="1"/>
    <n v="8"/>
    <n v="1"/>
    <n v="5"/>
    <n v="4"/>
    <n v="0"/>
    <n v="4"/>
  </r>
  <r>
    <s v="No"/>
    <s v="Travel_Rarely"/>
    <x v="0"/>
    <s v="Current Employees"/>
    <x v="0"/>
    <x v="3"/>
    <s v="STAFF-327"/>
    <n v="327"/>
    <x v="0"/>
    <x v="5"/>
    <x v="1"/>
    <s v="Yes"/>
    <s v="Y"/>
    <n v="3"/>
    <n v="-2"/>
    <n v="0"/>
    <n v="43"/>
    <n v="0"/>
    <m/>
    <n v="0"/>
    <n v="1"/>
    <n v="1034"/>
    <n v="16"/>
    <x v="3"/>
    <n v="1"/>
    <n v="4"/>
    <n v="80"/>
    <n v="3"/>
    <n v="4"/>
    <n v="1"/>
    <n v="16064"/>
    <n v="7744"/>
    <n v="5"/>
    <n v="22"/>
    <n v="4"/>
    <n v="3"/>
    <n v="80"/>
    <n v="1"/>
    <n v="22"/>
    <n v="3"/>
    <n v="17"/>
    <n v="13"/>
    <n v="1"/>
    <n v="9"/>
  </r>
  <r>
    <s v="Yes"/>
    <s v="Travel_Rarely"/>
    <x v="2"/>
    <s v="Ex-Employees"/>
    <x v="1"/>
    <x v="0"/>
    <s v="STAFF-328"/>
    <n v="328"/>
    <x v="0"/>
    <x v="2"/>
    <x v="1"/>
    <s v="No"/>
    <s v="Y"/>
    <n v="3"/>
    <n v="-2"/>
    <n v="0"/>
    <n v="33"/>
    <n v="1"/>
    <n v="1"/>
    <n v="1"/>
    <n v="0"/>
    <n v="465"/>
    <n v="2"/>
    <x v="0"/>
    <n v="1"/>
    <n v="1"/>
    <n v="39"/>
    <n v="3"/>
    <n v="1"/>
    <n v="2"/>
    <n v="2707"/>
    <n v="21509"/>
    <n v="7"/>
    <n v="20"/>
    <n v="4"/>
    <n v="1"/>
    <n v="80"/>
    <n v="0"/>
    <n v="13"/>
    <n v="4"/>
    <n v="9"/>
    <n v="7"/>
    <n v="1"/>
    <n v="7"/>
  </r>
  <r>
    <s v="No"/>
    <s v="Non-Travel"/>
    <x v="1"/>
    <s v="Current Employees"/>
    <x v="0"/>
    <x v="0"/>
    <s v="STAFF-329"/>
    <n v="329"/>
    <x v="1"/>
    <x v="5"/>
    <x v="0"/>
    <s v="Yes"/>
    <s v="Y"/>
    <n v="2"/>
    <n v="-2"/>
    <n v="0"/>
    <n v="52"/>
    <n v="0"/>
    <m/>
    <n v="0"/>
    <n v="1"/>
    <n v="771"/>
    <n v="2"/>
    <x v="2"/>
    <n v="1"/>
    <n v="1"/>
    <n v="79"/>
    <n v="2"/>
    <n v="5"/>
    <n v="2"/>
    <n v="19068"/>
    <n v="21030"/>
    <n v="1"/>
    <n v="18"/>
    <n v="3"/>
    <n v="4"/>
    <n v="80"/>
    <n v="0"/>
    <n v="33"/>
    <n v="4"/>
    <n v="33"/>
    <n v="7"/>
    <n v="15"/>
    <n v="12"/>
  </r>
  <r>
    <s v="No"/>
    <s v="Travel_Rarely"/>
    <x v="2"/>
    <s v="Current Employees"/>
    <x v="0"/>
    <x v="0"/>
    <s v="STAFF-330"/>
    <n v="330"/>
    <x v="0"/>
    <x v="6"/>
    <x v="1"/>
    <s v="No"/>
    <s v="Y"/>
    <n v="5"/>
    <n v="-2"/>
    <n v="0"/>
    <n v="32"/>
    <n v="0"/>
    <m/>
    <n v="0"/>
    <n v="1"/>
    <n v="1401"/>
    <n v="4"/>
    <x v="0"/>
    <n v="1"/>
    <n v="3"/>
    <n v="56"/>
    <n v="3"/>
    <n v="1"/>
    <n v="2"/>
    <n v="3931"/>
    <n v="20990"/>
    <n v="2"/>
    <n v="11"/>
    <n v="3"/>
    <n v="1"/>
    <n v="80"/>
    <n v="1"/>
    <n v="6"/>
    <n v="3"/>
    <n v="4"/>
    <n v="3"/>
    <n v="1"/>
    <n v="2"/>
  </r>
  <r>
    <s v="Yes"/>
    <s v="Travel_Rarely"/>
    <x v="2"/>
    <s v="Ex-Employees"/>
    <x v="1"/>
    <x v="0"/>
    <s v="STAFF-331"/>
    <n v="331"/>
    <x v="1"/>
    <x v="2"/>
    <x v="0"/>
    <s v="Yes"/>
    <s v="Y"/>
    <n v="2"/>
    <n v="-2"/>
    <n v="0"/>
    <n v="32"/>
    <n v="1"/>
    <n v="1"/>
    <n v="1"/>
    <n v="0"/>
    <n v="515"/>
    <n v="1"/>
    <x v="3"/>
    <n v="1"/>
    <n v="4"/>
    <n v="62"/>
    <n v="2"/>
    <n v="1"/>
    <n v="2"/>
    <n v="3730"/>
    <n v="9571"/>
    <n v="0"/>
    <n v="14"/>
    <n v="3"/>
    <n v="4"/>
    <n v="80"/>
    <n v="0"/>
    <n v="4"/>
    <n v="1"/>
    <n v="3"/>
    <n v="2"/>
    <n v="1"/>
    <n v="2"/>
  </r>
  <r>
    <s v="No"/>
    <s v="Travel_Rarely"/>
    <x v="0"/>
    <s v="Current Employees"/>
    <x v="1"/>
    <x v="2"/>
    <s v="STAFF-332"/>
    <n v="332"/>
    <x v="0"/>
    <x v="2"/>
    <x v="2"/>
    <s v="No"/>
    <s v="Y"/>
    <n v="1"/>
    <n v="-2"/>
    <n v="0"/>
    <n v="39"/>
    <n v="0"/>
    <m/>
    <n v="0"/>
    <n v="1"/>
    <n v="1431"/>
    <n v="1"/>
    <x v="2"/>
    <n v="1"/>
    <n v="3"/>
    <n v="96"/>
    <n v="3"/>
    <n v="1"/>
    <n v="3"/>
    <n v="2232"/>
    <n v="15417"/>
    <n v="7"/>
    <n v="14"/>
    <n v="3"/>
    <n v="3"/>
    <n v="80"/>
    <n v="3"/>
    <n v="7"/>
    <n v="3"/>
    <n v="3"/>
    <n v="2"/>
    <n v="1"/>
    <n v="2"/>
  </r>
  <r>
    <s v="No"/>
    <s v="Non-Travel"/>
    <x v="2"/>
    <s v="Current Employees"/>
    <x v="0"/>
    <x v="3"/>
    <s v="STAFF-333"/>
    <n v="333"/>
    <x v="1"/>
    <x v="0"/>
    <x v="1"/>
    <s v="No"/>
    <s v="Y"/>
    <n v="2"/>
    <n v="-2"/>
    <n v="0"/>
    <n v="32"/>
    <n v="0"/>
    <m/>
    <n v="0"/>
    <n v="1"/>
    <n v="976"/>
    <n v="26"/>
    <x v="2"/>
    <n v="1"/>
    <n v="3"/>
    <n v="100"/>
    <n v="3"/>
    <n v="2"/>
    <n v="1"/>
    <n v="4465"/>
    <n v="12069"/>
    <n v="0"/>
    <n v="18"/>
    <n v="3"/>
    <n v="1"/>
    <n v="80"/>
    <n v="0"/>
    <n v="4"/>
    <n v="3"/>
    <n v="3"/>
    <n v="2"/>
    <n v="2"/>
    <n v="2"/>
  </r>
  <r>
    <s v="No"/>
    <s v="Travel_Rarely"/>
    <x v="0"/>
    <s v="Current Employees"/>
    <x v="1"/>
    <x v="0"/>
    <s v="STAFF-334"/>
    <n v="334"/>
    <x v="1"/>
    <x v="1"/>
    <x v="2"/>
    <s v="No"/>
    <s v="Y"/>
    <n v="2"/>
    <n v="-2"/>
    <n v="0"/>
    <n v="41"/>
    <n v="0"/>
    <m/>
    <n v="0"/>
    <n v="1"/>
    <n v="1411"/>
    <n v="19"/>
    <x v="0"/>
    <n v="1"/>
    <n v="3"/>
    <n v="36"/>
    <n v="3"/>
    <n v="2"/>
    <n v="2"/>
    <n v="3072"/>
    <n v="19877"/>
    <n v="2"/>
    <n v="16"/>
    <n v="3"/>
    <n v="1"/>
    <n v="80"/>
    <n v="2"/>
    <n v="17"/>
    <n v="2"/>
    <n v="1"/>
    <n v="0"/>
    <n v="0"/>
    <n v="0"/>
  </r>
  <r>
    <s v="No"/>
    <s v="Travel_Rarely"/>
    <x v="0"/>
    <s v="Current Employees"/>
    <x v="1"/>
    <x v="4"/>
    <s v="STAFF-335"/>
    <n v="335"/>
    <x v="1"/>
    <x v="1"/>
    <x v="2"/>
    <s v="No"/>
    <s v="Y"/>
    <n v="3"/>
    <n v="-2"/>
    <n v="0"/>
    <n v="40"/>
    <n v="0"/>
    <m/>
    <n v="0"/>
    <n v="1"/>
    <n v="1300"/>
    <n v="24"/>
    <x v="0"/>
    <n v="1"/>
    <n v="4"/>
    <n v="62"/>
    <n v="3"/>
    <n v="2"/>
    <n v="4"/>
    <n v="3319"/>
    <n v="24447"/>
    <n v="1"/>
    <n v="17"/>
    <n v="3"/>
    <n v="1"/>
    <n v="80"/>
    <n v="2"/>
    <n v="9"/>
    <n v="3"/>
    <n v="9"/>
    <n v="8"/>
    <n v="4"/>
    <n v="7"/>
  </r>
  <r>
    <s v="No"/>
    <s v="Travel_Rarely"/>
    <x v="1"/>
    <s v="Current Employees"/>
    <x v="1"/>
    <x v="1"/>
    <s v="STAFF-336"/>
    <n v="336"/>
    <x v="1"/>
    <x v="5"/>
    <x v="1"/>
    <s v="No"/>
    <s v="Y"/>
    <n v="2"/>
    <n v="-2"/>
    <n v="0"/>
    <n v="45"/>
    <n v="0"/>
    <m/>
    <n v="0"/>
    <n v="1"/>
    <n v="252"/>
    <n v="1"/>
    <x v="3"/>
    <n v="1"/>
    <n v="3"/>
    <n v="70"/>
    <n v="4"/>
    <n v="5"/>
    <n v="4"/>
    <n v="19202"/>
    <n v="15970"/>
    <n v="0"/>
    <n v="11"/>
    <n v="3"/>
    <n v="3"/>
    <n v="80"/>
    <n v="1"/>
    <n v="25"/>
    <n v="3"/>
    <n v="24"/>
    <n v="0"/>
    <n v="1"/>
    <n v="7"/>
  </r>
  <r>
    <s v="No"/>
    <s v="Travel_Frequently"/>
    <x v="2"/>
    <s v="Current Employees"/>
    <x v="1"/>
    <x v="2"/>
    <s v="STAFF-337"/>
    <n v="337"/>
    <x v="1"/>
    <x v="7"/>
    <x v="2"/>
    <s v="No"/>
    <s v="Y"/>
    <n v="3"/>
    <n v="-2"/>
    <n v="0"/>
    <n v="31"/>
    <n v="0"/>
    <m/>
    <n v="0"/>
    <n v="1"/>
    <n v="1327"/>
    <n v="3"/>
    <x v="2"/>
    <n v="1"/>
    <n v="2"/>
    <n v="73"/>
    <n v="3"/>
    <n v="3"/>
    <n v="3"/>
    <n v="13675"/>
    <n v="13523"/>
    <n v="9"/>
    <n v="12"/>
    <n v="3"/>
    <n v="1"/>
    <n v="80"/>
    <n v="1"/>
    <n v="9"/>
    <n v="3"/>
    <n v="2"/>
    <n v="2"/>
    <n v="2"/>
    <n v="2"/>
  </r>
  <r>
    <s v="No"/>
    <s v="Travel_Rarely"/>
    <x v="2"/>
    <s v="Current Employees"/>
    <x v="1"/>
    <x v="0"/>
    <s v="STAFF-338"/>
    <n v="338"/>
    <x v="0"/>
    <x v="1"/>
    <x v="1"/>
    <s v="No"/>
    <s v="Y"/>
    <n v="2"/>
    <n v="-2"/>
    <n v="0"/>
    <n v="33"/>
    <n v="0"/>
    <m/>
    <n v="0"/>
    <n v="1"/>
    <n v="832"/>
    <n v="5"/>
    <x v="2"/>
    <n v="1"/>
    <n v="3"/>
    <n v="63"/>
    <n v="2"/>
    <n v="1"/>
    <n v="2"/>
    <n v="2911"/>
    <n v="14776"/>
    <n v="1"/>
    <n v="13"/>
    <n v="3"/>
    <n v="3"/>
    <n v="80"/>
    <n v="1"/>
    <n v="2"/>
    <n v="2"/>
    <n v="2"/>
    <n v="2"/>
    <n v="0"/>
    <n v="2"/>
  </r>
  <r>
    <s v="No"/>
    <s v="Travel_Rarely"/>
    <x v="2"/>
    <s v="Current Employees"/>
    <x v="1"/>
    <x v="0"/>
    <s v="STAFF-339"/>
    <n v="339"/>
    <x v="1"/>
    <x v="3"/>
    <x v="1"/>
    <s v="No"/>
    <s v="Y"/>
    <n v="3"/>
    <n v="-2"/>
    <n v="0"/>
    <n v="34"/>
    <n v="0"/>
    <m/>
    <n v="0"/>
    <n v="1"/>
    <n v="470"/>
    <n v="2"/>
    <x v="2"/>
    <n v="1"/>
    <n v="4"/>
    <n v="84"/>
    <n v="2"/>
    <n v="2"/>
    <n v="2"/>
    <n v="5957"/>
    <n v="23687"/>
    <n v="6"/>
    <n v="13"/>
    <n v="3"/>
    <n v="2"/>
    <n v="80"/>
    <n v="1"/>
    <n v="13"/>
    <n v="3"/>
    <n v="11"/>
    <n v="9"/>
    <n v="5"/>
    <n v="9"/>
  </r>
  <r>
    <s v="No"/>
    <s v="Travel_Rarely"/>
    <x v="0"/>
    <s v="Current Employees"/>
    <x v="1"/>
    <x v="2"/>
    <s v="STAFF-340"/>
    <n v="340"/>
    <x v="0"/>
    <x v="1"/>
    <x v="1"/>
    <s v="No"/>
    <s v="Y"/>
    <n v="2"/>
    <n v="-2"/>
    <n v="0"/>
    <n v="37"/>
    <n v="0"/>
    <m/>
    <n v="0"/>
    <n v="1"/>
    <n v="1017"/>
    <n v="1"/>
    <x v="0"/>
    <n v="1"/>
    <n v="3"/>
    <n v="83"/>
    <n v="2"/>
    <n v="1"/>
    <n v="3"/>
    <n v="3920"/>
    <n v="18697"/>
    <n v="2"/>
    <n v="14"/>
    <n v="3"/>
    <n v="1"/>
    <n v="80"/>
    <n v="1"/>
    <n v="17"/>
    <n v="2"/>
    <n v="3"/>
    <n v="1"/>
    <n v="0"/>
    <n v="2"/>
  </r>
  <r>
    <s v="No"/>
    <s v="Travel_Frequently"/>
    <x v="1"/>
    <s v="Current Employees"/>
    <x v="1"/>
    <x v="0"/>
    <s v="STAFF-341"/>
    <n v="341"/>
    <x v="1"/>
    <x v="3"/>
    <x v="1"/>
    <s v="No"/>
    <s v="Y"/>
    <n v="1"/>
    <n v="-2"/>
    <n v="0"/>
    <n v="45"/>
    <n v="0"/>
    <m/>
    <n v="0"/>
    <n v="1"/>
    <n v="1199"/>
    <n v="7"/>
    <x v="2"/>
    <n v="1"/>
    <n v="1"/>
    <n v="77"/>
    <n v="4"/>
    <n v="2"/>
    <n v="2"/>
    <n v="6434"/>
    <n v="5118"/>
    <n v="4"/>
    <n v="17"/>
    <n v="3"/>
    <n v="4"/>
    <n v="80"/>
    <n v="1"/>
    <n v="9"/>
    <n v="3"/>
    <n v="3"/>
    <n v="2"/>
    <n v="0"/>
    <n v="2"/>
  </r>
  <r>
    <s v="Yes"/>
    <s v="Travel_Frequently"/>
    <x v="0"/>
    <s v="Ex-Employees"/>
    <x v="1"/>
    <x v="2"/>
    <s v="STAFF-342"/>
    <n v="342"/>
    <x v="1"/>
    <x v="3"/>
    <x v="2"/>
    <s v="No"/>
    <s v="Y"/>
    <n v="5"/>
    <n v="-2"/>
    <n v="0"/>
    <n v="37"/>
    <n v="1"/>
    <n v="1"/>
    <n v="1"/>
    <n v="0"/>
    <n v="504"/>
    <n v="10"/>
    <x v="3"/>
    <n v="1"/>
    <n v="1"/>
    <n v="61"/>
    <n v="3"/>
    <n v="3"/>
    <n v="3"/>
    <n v="10048"/>
    <n v="22573"/>
    <n v="6"/>
    <n v="11"/>
    <n v="3"/>
    <n v="2"/>
    <n v="80"/>
    <n v="2"/>
    <n v="17"/>
    <n v="3"/>
    <n v="1"/>
    <n v="0"/>
    <n v="0"/>
    <n v="0"/>
  </r>
  <r>
    <s v="No"/>
    <s v="Travel_Frequently"/>
    <x v="0"/>
    <s v="Current Employees"/>
    <x v="1"/>
    <x v="4"/>
    <s v="STAFF-343"/>
    <n v="343"/>
    <x v="0"/>
    <x v="4"/>
    <x v="0"/>
    <s v="No"/>
    <s v="Y"/>
    <n v="1"/>
    <n v="-2"/>
    <n v="0"/>
    <n v="39"/>
    <n v="0"/>
    <m/>
    <n v="0"/>
    <n v="1"/>
    <n v="505"/>
    <n v="2"/>
    <x v="2"/>
    <n v="1"/>
    <n v="4"/>
    <n v="64"/>
    <n v="3"/>
    <n v="3"/>
    <n v="4"/>
    <n v="10938"/>
    <n v="6420"/>
    <n v="0"/>
    <n v="25"/>
    <n v="4"/>
    <n v="4"/>
    <n v="80"/>
    <n v="0"/>
    <n v="20"/>
    <n v="3"/>
    <n v="19"/>
    <n v="6"/>
    <n v="11"/>
    <n v="8"/>
  </r>
  <r>
    <s v="No"/>
    <s v="Travel_Rarely"/>
    <x v="2"/>
    <s v="Current Employees"/>
    <x v="1"/>
    <x v="0"/>
    <s v="STAFF-346"/>
    <n v="346"/>
    <x v="1"/>
    <x v="1"/>
    <x v="0"/>
    <s v="No"/>
    <s v="Y"/>
    <n v="1"/>
    <n v="-2"/>
    <n v="0"/>
    <n v="29"/>
    <n v="0"/>
    <m/>
    <n v="0"/>
    <n v="1"/>
    <n v="665"/>
    <n v="15"/>
    <x v="3"/>
    <n v="1"/>
    <n v="3"/>
    <n v="60"/>
    <n v="3"/>
    <n v="1"/>
    <n v="2"/>
    <n v="2340"/>
    <n v="22673"/>
    <n v="1"/>
    <n v="19"/>
    <n v="3"/>
    <n v="1"/>
    <n v="80"/>
    <n v="0"/>
    <n v="6"/>
    <n v="3"/>
    <n v="6"/>
    <n v="5"/>
    <n v="1"/>
    <n v="5"/>
  </r>
  <r>
    <s v="No"/>
    <s v="Travel_Rarely"/>
    <x v="0"/>
    <s v="Current Employees"/>
    <x v="1"/>
    <x v="0"/>
    <s v="STAFF-347"/>
    <n v="347"/>
    <x v="0"/>
    <x v="1"/>
    <x v="0"/>
    <s v="Yes"/>
    <s v="Y"/>
    <n v="1"/>
    <n v="-2"/>
    <n v="0"/>
    <n v="42"/>
    <n v="0"/>
    <m/>
    <n v="0"/>
    <n v="1"/>
    <n v="916"/>
    <n v="17"/>
    <x v="0"/>
    <n v="1"/>
    <n v="4"/>
    <n v="82"/>
    <n v="4"/>
    <n v="2"/>
    <n v="2"/>
    <n v="6545"/>
    <n v="23016"/>
    <n v="3"/>
    <n v="13"/>
    <n v="3"/>
    <n v="3"/>
    <n v="80"/>
    <n v="0"/>
    <n v="10"/>
    <n v="3"/>
    <n v="3"/>
    <n v="2"/>
    <n v="0"/>
    <n v="2"/>
  </r>
  <r>
    <s v="No"/>
    <s v="Travel_Rarely"/>
    <x v="2"/>
    <s v="Current Employees"/>
    <x v="0"/>
    <x v="3"/>
    <s v="STAFF-349"/>
    <n v="349"/>
    <x v="1"/>
    <x v="0"/>
    <x v="2"/>
    <s v="No"/>
    <s v="Y"/>
    <n v="2"/>
    <n v="-2"/>
    <n v="0"/>
    <n v="29"/>
    <n v="0"/>
    <m/>
    <n v="0"/>
    <n v="1"/>
    <n v="1247"/>
    <n v="20"/>
    <x v="0"/>
    <n v="1"/>
    <n v="4"/>
    <n v="45"/>
    <n v="3"/>
    <n v="2"/>
    <n v="1"/>
    <n v="6931"/>
    <n v="10732"/>
    <n v="2"/>
    <n v="14"/>
    <n v="3"/>
    <n v="4"/>
    <n v="80"/>
    <n v="1"/>
    <n v="10"/>
    <n v="3"/>
    <n v="3"/>
    <n v="2"/>
    <n v="0"/>
    <n v="2"/>
  </r>
  <r>
    <s v="No"/>
    <s v="Travel_Rarely"/>
    <x v="2"/>
    <s v="Current Employees"/>
    <x v="1"/>
    <x v="0"/>
    <s v="STAFF-350"/>
    <n v="350"/>
    <x v="0"/>
    <x v="3"/>
    <x v="1"/>
    <s v="No"/>
    <s v="Y"/>
    <n v="3"/>
    <n v="-2"/>
    <n v="0"/>
    <n v="25"/>
    <n v="0"/>
    <m/>
    <n v="0"/>
    <n v="1"/>
    <n v="685"/>
    <n v="1"/>
    <x v="3"/>
    <n v="1"/>
    <n v="1"/>
    <n v="62"/>
    <n v="3"/>
    <n v="2"/>
    <n v="2"/>
    <n v="4898"/>
    <n v="7505"/>
    <n v="0"/>
    <n v="12"/>
    <n v="3"/>
    <n v="4"/>
    <n v="80"/>
    <n v="2"/>
    <n v="5"/>
    <n v="3"/>
    <n v="4"/>
    <n v="2"/>
    <n v="1"/>
    <n v="2"/>
  </r>
  <r>
    <s v="No"/>
    <s v="Travel_Rarely"/>
    <x v="0"/>
    <s v="Current Employees"/>
    <x v="1"/>
    <x v="2"/>
    <s v="STAFF-351"/>
    <n v="351"/>
    <x v="0"/>
    <x v="2"/>
    <x v="2"/>
    <s v="Yes"/>
    <s v="Y"/>
    <n v="4"/>
    <n v="-2"/>
    <n v="0"/>
    <n v="42"/>
    <n v="0"/>
    <m/>
    <n v="0"/>
    <n v="1"/>
    <n v="269"/>
    <n v="2"/>
    <x v="3"/>
    <n v="1"/>
    <n v="4"/>
    <n v="56"/>
    <n v="2"/>
    <n v="1"/>
    <n v="3"/>
    <n v="2593"/>
    <n v="8007"/>
    <n v="0"/>
    <n v="11"/>
    <n v="3"/>
    <n v="3"/>
    <n v="80"/>
    <n v="1"/>
    <n v="10"/>
    <n v="3"/>
    <n v="9"/>
    <n v="6"/>
    <n v="7"/>
    <n v="8"/>
  </r>
  <r>
    <s v="No"/>
    <s v="Travel_Rarely"/>
    <x v="0"/>
    <s v="Current Employees"/>
    <x v="1"/>
    <x v="2"/>
    <s v="STAFF-352"/>
    <n v="352"/>
    <x v="1"/>
    <x v="7"/>
    <x v="2"/>
    <s v="No"/>
    <s v="Y"/>
    <n v="5"/>
    <n v="-2"/>
    <n v="0"/>
    <n v="40"/>
    <n v="0"/>
    <m/>
    <n v="0"/>
    <n v="1"/>
    <n v="1416"/>
    <n v="2"/>
    <x v="0"/>
    <n v="1"/>
    <n v="1"/>
    <n v="49"/>
    <n v="3"/>
    <n v="5"/>
    <n v="3"/>
    <n v="19436"/>
    <n v="5949"/>
    <n v="0"/>
    <n v="19"/>
    <n v="3"/>
    <n v="4"/>
    <n v="80"/>
    <n v="1"/>
    <n v="22"/>
    <n v="3"/>
    <n v="21"/>
    <n v="7"/>
    <n v="3"/>
    <n v="9"/>
  </r>
  <r>
    <s v="No"/>
    <s v="Travel_Rarely"/>
    <x v="1"/>
    <s v="Current Employees"/>
    <x v="1"/>
    <x v="0"/>
    <s v="STAFF-353"/>
    <n v="353"/>
    <x v="1"/>
    <x v="1"/>
    <x v="1"/>
    <s v="No"/>
    <s v="Y"/>
    <n v="0"/>
    <n v="-2"/>
    <n v="0"/>
    <n v="51"/>
    <n v="0"/>
    <m/>
    <n v="0"/>
    <n v="1"/>
    <n v="833"/>
    <n v="1"/>
    <x v="3"/>
    <n v="1"/>
    <n v="3"/>
    <n v="96"/>
    <n v="3"/>
    <n v="1"/>
    <n v="2"/>
    <n v="2723"/>
    <n v="23231"/>
    <n v="1"/>
    <n v="11"/>
    <n v="3"/>
    <n v="2"/>
    <n v="80"/>
    <n v="0"/>
    <n v="1"/>
    <n v="2"/>
    <n v="1"/>
    <n v="0"/>
    <n v="0"/>
    <n v="0"/>
  </r>
  <r>
    <s v="Yes"/>
    <s v="Travel_Frequently"/>
    <x v="2"/>
    <s v="Ex-Employees"/>
    <x v="1"/>
    <x v="2"/>
    <s v="STAFF-355"/>
    <n v="355"/>
    <x v="1"/>
    <x v="2"/>
    <x v="0"/>
    <s v="No"/>
    <s v="Y"/>
    <n v="2"/>
    <n v="-2"/>
    <n v="0"/>
    <n v="31"/>
    <n v="1"/>
    <n v="1"/>
    <n v="1"/>
    <n v="0"/>
    <n v="307"/>
    <n v="29"/>
    <x v="0"/>
    <n v="1"/>
    <n v="3"/>
    <n v="71"/>
    <n v="2"/>
    <n v="1"/>
    <n v="3"/>
    <n v="3479"/>
    <n v="11652"/>
    <n v="0"/>
    <n v="11"/>
    <n v="3"/>
    <n v="2"/>
    <n v="80"/>
    <n v="0"/>
    <n v="6"/>
    <n v="4"/>
    <n v="5"/>
    <n v="4"/>
    <n v="1"/>
    <n v="4"/>
  </r>
  <r>
    <s v="No"/>
    <s v="Travel_Frequently"/>
    <x v="2"/>
    <s v="Current Employees"/>
    <x v="1"/>
    <x v="0"/>
    <s v="STAFF-359"/>
    <n v="359"/>
    <x v="1"/>
    <x v="2"/>
    <x v="1"/>
    <s v="No"/>
    <s v="Y"/>
    <n v="3"/>
    <n v="-2"/>
    <n v="0"/>
    <n v="32"/>
    <n v="0"/>
    <m/>
    <n v="0"/>
    <n v="1"/>
    <n v="1311"/>
    <n v="7"/>
    <x v="3"/>
    <n v="1"/>
    <n v="2"/>
    <n v="100"/>
    <n v="4"/>
    <n v="1"/>
    <n v="2"/>
    <n v="2794"/>
    <n v="26062"/>
    <n v="1"/>
    <n v="20"/>
    <n v="4"/>
    <n v="3"/>
    <n v="80"/>
    <n v="0"/>
    <n v="5"/>
    <n v="1"/>
    <n v="5"/>
    <n v="1"/>
    <n v="0"/>
    <n v="3"/>
  </r>
  <r>
    <s v="No"/>
    <s v="Non-Travel"/>
    <x v="0"/>
    <s v="Current Employees"/>
    <x v="0"/>
    <x v="0"/>
    <s v="STAFF-361"/>
    <n v="361"/>
    <x v="1"/>
    <x v="0"/>
    <x v="1"/>
    <s v="No"/>
    <s v="Y"/>
    <n v="0"/>
    <n v="-2"/>
    <n v="0"/>
    <n v="38"/>
    <n v="0"/>
    <m/>
    <n v="0"/>
    <n v="1"/>
    <n v="1327"/>
    <n v="2"/>
    <x v="0"/>
    <n v="1"/>
    <n v="4"/>
    <n v="39"/>
    <n v="2"/>
    <n v="2"/>
    <n v="2"/>
    <n v="5249"/>
    <n v="19682"/>
    <n v="3"/>
    <n v="18"/>
    <n v="3"/>
    <n v="4"/>
    <n v="80"/>
    <n v="1"/>
    <n v="13"/>
    <n v="3"/>
    <n v="8"/>
    <n v="7"/>
    <n v="7"/>
    <n v="5"/>
  </r>
  <r>
    <s v="No"/>
    <s v="Travel_Rarely"/>
    <x v="2"/>
    <s v="Current Employees"/>
    <x v="1"/>
    <x v="4"/>
    <s v="STAFF-362"/>
    <n v="362"/>
    <x v="1"/>
    <x v="2"/>
    <x v="0"/>
    <s v="No"/>
    <s v="Y"/>
    <n v="5"/>
    <n v="-2"/>
    <n v="0"/>
    <n v="32"/>
    <n v="0"/>
    <m/>
    <n v="0"/>
    <n v="1"/>
    <n v="128"/>
    <n v="2"/>
    <x v="1"/>
    <n v="1"/>
    <n v="4"/>
    <n v="84"/>
    <n v="2"/>
    <n v="2"/>
    <n v="4"/>
    <n v="2176"/>
    <n v="19737"/>
    <n v="4"/>
    <n v="13"/>
    <n v="3"/>
    <n v="4"/>
    <n v="80"/>
    <n v="0"/>
    <n v="9"/>
    <n v="3"/>
    <n v="6"/>
    <n v="2"/>
    <n v="0"/>
    <n v="4"/>
  </r>
  <r>
    <s v="No"/>
    <s v="Travel_Rarely"/>
    <x v="1"/>
    <s v="Current Employees"/>
    <x v="0"/>
    <x v="4"/>
    <s v="STAFF-363"/>
    <n v="363"/>
    <x v="0"/>
    <x v="5"/>
    <x v="1"/>
    <s v="Yes"/>
    <s v="Y"/>
    <n v="2"/>
    <n v="-2"/>
    <n v="0"/>
    <n v="46"/>
    <n v="0"/>
    <m/>
    <n v="0"/>
    <n v="1"/>
    <n v="488"/>
    <n v="2"/>
    <x v="3"/>
    <n v="1"/>
    <n v="4"/>
    <n v="75"/>
    <n v="1"/>
    <n v="4"/>
    <n v="4"/>
    <n v="16872"/>
    <n v="14977"/>
    <n v="3"/>
    <n v="12"/>
    <n v="3"/>
    <n v="2"/>
    <n v="80"/>
    <n v="1"/>
    <n v="28"/>
    <n v="2"/>
    <n v="7"/>
    <n v="7"/>
    <n v="7"/>
    <n v="7"/>
  </r>
  <r>
    <s v="Yes"/>
    <s v="Travel_Rarely"/>
    <x v="2"/>
    <s v="Ex-Employees"/>
    <x v="1"/>
    <x v="0"/>
    <s v="STAFF-364"/>
    <n v="364"/>
    <x v="1"/>
    <x v="2"/>
    <x v="0"/>
    <s v="No"/>
    <s v="Y"/>
    <n v="5"/>
    <n v="-2"/>
    <n v="0"/>
    <n v="28"/>
    <n v="1"/>
    <n v="1"/>
    <n v="1"/>
    <n v="0"/>
    <n v="529"/>
    <n v="2"/>
    <x v="2"/>
    <n v="1"/>
    <n v="1"/>
    <n v="79"/>
    <n v="3"/>
    <n v="1"/>
    <n v="2"/>
    <n v="3485"/>
    <n v="14935"/>
    <n v="2"/>
    <n v="11"/>
    <n v="3"/>
    <n v="3"/>
    <n v="80"/>
    <n v="0"/>
    <n v="5"/>
    <n v="1"/>
    <n v="0"/>
    <n v="0"/>
    <n v="0"/>
    <n v="0"/>
  </r>
  <r>
    <s v="No"/>
    <s v="Travel_Rarely"/>
    <x v="2"/>
    <s v="Current Employees"/>
    <x v="0"/>
    <x v="2"/>
    <s v="STAFF-366"/>
    <n v="366"/>
    <x v="1"/>
    <x v="0"/>
    <x v="1"/>
    <s v="No"/>
    <s v="Y"/>
    <n v="2"/>
    <n v="-2"/>
    <n v="0"/>
    <n v="29"/>
    <n v="0"/>
    <m/>
    <n v="0"/>
    <n v="1"/>
    <n v="1210"/>
    <n v="2"/>
    <x v="3"/>
    <n v="1"/>
    <n v="1"/>
    <n v="78"/>
    <n v="2"/>
    <n v="2"/>
    <n v="3"/>
    <n v="6644"/>
    <n v="3687"/>
    <n v="2"/>
    <n v="19"/>
    <n v="3"/>
    <n v="2"/>
    <n v="80"/>
    <n v="2"/>
    <n v="10"/>
    <n v="3"/>
    <n v="0"/>
    <n v="0"/>
    <n v="0"/>
    <n v="0"/>
  </r>
  <r>
    <s v="No"/>
    <s v="Travel_Rarely"/>
    <x v="2"/>
    <s v="Current Employees"/>
    <x v="1"/>
    <x v="2"/>
    <s v="STAFF-367"/>
    <n v="367"/>
    <x v="1"/>
    <x v="4"/>
    <x v="1"/>
    <s v="No"/>
    <s v="Y"/>
    <n v="2"/>
    <n v="-2"/>
    <n v="0"/>
    <n v="31"/>
    <n v="0"/>
    <m/>
    <n v="0"/>
    <n v="1"/>
    <n v="1463"/>
    <n v="23"/>
    <x v="3"/>
    <n v="1"/>
    <n v="2"/>
    <n v="64"/>
    <n v="2"/>
    <n v="2"/>
    <n v="4"/>
    <n v="5582"/>
    <n v="14408"/>
    <n v="0"/>
    <n v="21"/>
    <n v="4"/>
    <n v="2"/>
    <n v="80"/>
    <n v="1"/>
    <n v="10"/>
    <n v="3"/>
    <n v="9"/>
    <n v="0"/>
    <n v="7"/>
    <n v="8"/>
  </r>
  <r>
    <s v="No"/>
    <s v="Non-Travel"/>
    <x v="2"/>
    <s v="Current Employees"/>
    <x v="1"/>
    <x v="0"/>
    <s v="STAFF-369"/>
    <n v="369"/>
    <x v="1"/>
    <x v="4"/>
    <x v="2"/>
    <s v="No"/>
    <s v="Y"/>
    <n v="2"/>
    <n v="-2"/>
    <n v="0"/>
    <n v="25"/>
    <n v="0"/>
    <m/>
    <n v="0"/>
    <n v="1"/>
    <n v="675"/>
    <n v="5"/>
    <x v="0"/>
    <n v="1"/>
    <n v="2"/>
    <n v="85"/>
    <n v="4"/>
    <n v="2"/>
    <n v="2"/>
    <n v="4000"/>
    <n v="18384"/>
    <n v="1"/>
    <n v="12"/>
    <n v="3"/>
    <n v="4"/>
    <n v="80"/>
    <n v="2"/>
    <n v="6"/>
    <n v="3"/>
    <n v="6"/>
    <n v="3"/>
    <n v="1"/>
    <n v="5"/>
  </r>
  <r>
    <s v="No"/>
    <s v="Travel_Rarely"/>
    <x v="1"/>
    <s v="Current Employees"/>
    <x v="1"/>
    <x v="2"/>
    <s v="STAFF-372"/>
    <n v="372"/>
    <x v="1"/>
    <x v="4"/>
    <x v="1"/>
    <s v="Yes"/>
    <s v="Y"/>
    <n v="2"/>
    <n v="-2"/>
    <n v="0"/>
    <n v="45"/>
    <n v="0"/>
    <m/>
    <n v="0"/>
    <n v="1"/>
    <n v="1385"/>
    <n v="20"/>
    <x v="0"/>
    <n v="1"/>
    <n v="3"/>
    <n v="79"/>
    <n v="3"/>
    <n v="4"/>
    <n v="4"/>
    <n v="13496"/>
    <n v="7501"/>
    <n v="0"/>
    <n v="14"/>
    <n v="3"/>
    <n v="2"/>
    <n v="80"/>
    <n v="0"/>
    <n v="21"/>
    <n v="3"/>
    <n v="20"/>
    <n v="7"/>
    <n v="4"/>
    <n v="10"/>
  </r>
  <r>
    <s v="No"/>
    <s v="Travel_Rarely"/>
    <x v="0"/>
    <s v="Current Employees"/>
    <x v="1"/>
    <x v="0"/>
    <s v="STAFF-373"/>
    <n v="373"/>
    <x v="1"/>
    <x v="2"/>
    <x v="1"/>
    <s v="No"/>
    <s v="Y"/>
    <n v="4"/>
    <n v="-2"/>
    <n v="0"/>
    <n v="36"/>
    <n v="0"/>
    <m/>
    <n v="0"/>
    <n v="1"/>
    <n v="1403"/>
    <n v="6"/>
    <x v="3"/>
    <n v="1"/>
    <n v="4"/>
    <n v="47"/>
    <n v="3"/>
    <n v="1"/>
    <n v="2"/>
    <n v="3210"/>
    <n v="20251"/>
    <n v="0"/>
    <n v="11"/>
    <n v="3"/>
    <n v="3"/>
    <n v="80"/>
    <n v="1"/>
    <n v="16"/>
    <n v="3"/>
    <n v="15"/>
    <n v="13"/>
    <n v="10"/>
    <n v="11"/>
  </r>
  <r>
    <s v="No"/>
    <s v="Travel_Rarely"/>
    <x v="3"/>
    <s v="Current Employees"/>
    <x v="1"/>
    <x v="2"/>
    <s v="STAFF-374"/>
    <n v="374"/>
    <x v="1"/>
    <x v="5"/>
    <x v="0"/>
    <s v="Yes"/>
    <s v="Y"/>
    <n v="2"/>
    <n v="-2"/>
    <n v="0"/>
    <n v="55"/>
    <n v="0"/>
    <m/>
    <n v="0"/>
    <n v="1"/>
    <n v="452"/>
    <n v="1"/>
    <x v="3"/>
    <n v="1"/>
    <n v="4"/>
    <n v="81"/>
    <n v="3"/>
    <n v="5"/>
    <n v="3"/>
    <n v="19045"/>
    <n v="18938"/>
    <n v="0"/>
    <n v="14"/>
    <n v="3"/>
    <n v="3"/>
    <n v="80"/>
    <n v="0"/>
    <n v="37"/>
    <n v="3"/>
    <n v="36"/>
    <n v="10"/>
    <n v="4"/>
    <n v="13"/>
  </r>
  <r>
    <s v="Yes"/>
    <s v="Non-Travel"/>
    <x v="1"/>
    <s v="Ex-Employees"/>
    <x v="1"/>
    <x v="0"/>
    <s v="STAFF-376"/>
    <n v="376"/>
    <x v="1"/>
    <x v="5"/>
    <x v="1"/>
    <s v="Yes"/>
    <s v="Y"/>
    <n v="2"/>
    <n v="-2"/>
    <n v="0"/>
    <n v="47"/>
    <n v="1"/>
    <n v="1"/>
    <n v="1"/>
    <n v="0"/>
    <n v="666"/>
    <n v="29"/>
    <x v="2"/>
    <n v="1"/>
    <n v="1"/>
    <n v="88"/>
    <n v="3"/>
    <n v="3"/>
    <n v="2"/>
    <n v="11849"/>
    <n v="10268"/>
    <n v="1"/>
    <n v="12"/>
    <n v="3"/>
    <n v="4"/>
    <n v="80"/>
    <n v="1"/>
    <n v="10"/>
    <n v="2"/>
    <n v="10"/>
    <n v="7"/>
    <n v="9"/>
    <n v="9"/>
  </r>
  <r>
    <s v="No"/>
    <s v="Travel_Rarely"/>
    <x v="2"/>
    <s v="Current Employees"/>
    <x v="1"/>
    <x v="2"/>
    <s v="STAFF-377"/>
    <n v="377"/>
    <x v="1"/>
    <x v="1"/>
    <x v="1"/>
    <s v="No"/>
    <s v="Y"/>
    <n v="3"/>
    <n v="-2"/>
    <n v="0"/>
    <n v="28"/>
    <n v="0"/>
    <m/>
    <n v="0"/>
    <n v="1"/>
    <n v="1158"/>
    <n v="9"/>
    <x v="3"/>
    <n v="1"/>
    <n v="4"/>
    <n v="94"/>
    <n v="3"/>
    <n v="1"/>
    <n v="4"/>
    <n v="2070"/>
    <n v="2613"/>
    <n v="1"/>
    <n v="23"/>
    <n v="4"/>
    <n v="4"/>
    <n v="80"/>
    <n v="1"/>
    <n v="5"/>
    <n v="2"/>
    <n v="5"/>
    <n v="2"/>
    <n v="0"/>
    <n v="4"/>
  </r>
  <r>
    <s v="No"/>
    <s v="Travel_Rarely"/>
    <x v="0"/>
    <s v="Current Employees"/>
    <x v="0"/>
    <x v="2"/>
    <s v="STAFF-378"/>
    <n v="378"/>
    <x v="1"/>
    <x v="0"/>
    <x v="1"/>
    <s v="No"/>
    <s v="Y"/>
    <n v="5"/>
    <n v="-2"/>
    <n v="0"/>
    <n v="37"/>
    <n v="0"/>
    <m/>
    <n v="0"/>
    <n v="1"/>
    <n v="228"/>
    <n v="6"/>
    <x v="2"/>
    <n v="1"/>
    <n v="3"/>
    <n v="98"/>
    <n v="3"/>
    <n v="2"/>
    <n v="4"/>
    <n v="6502"/>
    <n v="22825"/>
    <n v="4"/>
    <n v="14"/>
    <n v="3"/>
    <n v="2"/>
    <n v="80"/>
    <n v="1"/>
    <n v="7"/>
    <n v="4"/>
    <n v="5"/>
    <n v="4"/>
    <n v="0"/>
    <n v="1"/>
  </r>
  <r>
    <s v="No"/>
    <s v="Travel_Rarely"/>
    <x v="4"/>
    <s v="Current Employees"/>
    <x v="1"/>
    <x v="2"/>
    <s v="STAFF-379"/>
    <n v="379"/>
    <x v="1"/>
    <x v="1"/>
    <x v="0"/>
    <s v="No"/>
    <s v="Y"/>
    <n v="4"/>
    <n v="-2"/>
    <n v="0"/>
    <n v="21"/>
    <n v="0"/>
    <m/>
    <n v="0"/>
    <n v="1"/>
    <n v="996"/>
    <n v="3"/>
    <x v="0"/>
    <n v="1"/>
    <n v="4"/>
    <n v="100"/>
    <n v="2"/>
    <n v="1"/>
    <n v="3"/>
    <n v="3230"/>
    <n v="10531"/>
    <n v="1"/>
    <n v="17"/>
    <n v="3"/>
    <n v="1"/>
    <n v="80"/>
    <n v="0"/>
    <n v="3"/>
    <n v="4"/>
    <n v="3"/>
    <n v="2"/>
    <n v="1"/>
    <n v="0"/>
  </r>
  <r>
    <s v="No"/>
    <s v="Non-Travel"/>
    <x v="0"/>
    <s v="Current Employees"/>
    <x v="1"/>
    <x v="2"/>
    <s v="STAFF-380"/>
    <n v="380"/>
    <x v="0"/>
    <x v="7"/>
    <x v="2"/>
    <s v="Yes"/>
    <s v="Y"/>
    <n v="2"/>
    <n v="-2"/>
    <n v="0"/>
    <n v="37"/>
    <n v="0"/>
    <m/>
    <n v="0"/>
    <n v="1"/>
    <n v="728"/>
    <n v="1"/>
    <x v="2"/>
    <n v="1"/>
    <n v="1"/>
    <n v="80"/>
    <n v="3"/>
    <n v="3"/>
    <n v="4"/>
    <n v="13603"/>
    <n v="11677"/>
    <n v="2"/>
    <n v="18"/>
    <n v="3"/>
    <n v="1"/>
    <n v="80"/>
    <n v="2"/>
    <n v="15"/>
    <n v="3"/>
    <n v="5"/>
    <n v="2"/>
    <n v="0"/>
    <n v="2"/>
  </r>
  <r>
    <s v="No"/>
    <s v="Travel_Rarely"/>
    <x v="0"/>
    <s v="Current Employees"/>
    <x v="1"/>
    <x v="0"/>
    <s v="STAFF-381"/>
    <n v="381"/>
    <x v="0"/>
    <x v="5"/>
    <x v="2"/>
    <s v="No"/>
    <s v="Y"/>
    <n v="6"/>
    <n v="-2"/>
    <n v="0"/>
    <n v="35"/>
    <n v="0"/>
    <m/>
    <n v="0"/>
    <n v="1"/>
    <n v="1315"/>
    <n v="22"/>
    <x v="3"/>
    <n v="1"/>
    <n v="2"/>
    <n v="71"/>
    <n v="4"/>
    <n v="3"/>
    <n v="2"/>
    <n v="11996"/>
    <n v="19100"/>
    <n v="7"/>
    <n v="18"/>
    <n v="3"/>
    <n v="2"/>
    <n v="80"/>
    <n v="1"/>
    <n v="10"/>
    <n v="2"/>
    <n v="7"/>
    <n v="7"/>
    <n v="6"/>
    <n v="2"/>
  </r>
  <r>
    <s v="No"/>
    <s v="Travel_Rarely"/>
    <x v="0"/>
    <s v="Current Employees"/>
    <x v="0"/>
    <x v="2"/>
    <s v="STAFF-382"/>
    <n v="382"/>
    <x v="0"/>
    <x v="0"/>
    <x v="2"/>
    <s v="Yes"/>
    <s v="Y"/>
    <n v="3"/>
    <n v="-2"/>
    <n v="0"/>
    <n v="38"/>
    <n v="0"/>
    <m/>
    <n v="0"/>
    <n v="1"/>
    <n v="322"/>
    <n v="7"/>
    <x v="0"/>
    <n v="1"/>
    <n v="1"/>
    <n v="44"/>
    <n v="4"/>
    <n v="2"/>
    <n v="3"/>
    <n v="5605"/>
    <n v="19191"/>
    <n v="1"/>
    <n v="24"/>
    <n v="4"/>
    <n v="3"/>
    <n v="80"/>
    <n v="1"/>
    <n v="8"/>
    <n v="3"/>
    <n v="8"/>
    <n v="0"/>
    <n v="7"/>
    <n v="7"/>
  </r>
  <r>
    <s v="No"/>
    <s v="Travel_Frequently"/>
    <x v="2"/>
    <s v="Current Employees"/>
    <x v="1"/>
    <x v="0"/>
    <s v="STAFF-384"/>
    <n v="384"/>
    <x v="0"/>
    <x v="3"/>
    <x v="2"/>
    <s v="No"/>
    <s v="Y"/>
    <n v="6"/>
    <n v="-2"/>
    <n v="0"/>
    <n v="26"/>
    <n v="0"/>
    <m/>
    <n v="0"/>
    <n v="1"/>
    <n v="1479"/>
    <n v="1"/>
    <x v="3"/>
    <n v="1"/>
    <n v="3"/>
    <n v="84"/>
    <n v="3"/>
    <n v="2"/>
    <n v="2"/>
    <n v="6397"/>
    <n v="26767"/>
    <n v="1"/>
    <n v="20"/>
    <n v="4"/>
    <n v="1"/>
    <n v="80"/>
    <n v="1"/>
    <n v="6"/>
    <n v="1"/>
    <n v="6"/>
    <n v="5"/>
    <n v="1"/>
    <n v="4"/>
  </r>
  <r>
    <s v="No"/>
    <s v="Travel_Rarely"/>
    <x v="1"/>
    <s v="Current Employees"/>
    <x v="1"/>
    <x v="0"/>
    <s v="STAFF-385"/>
    <n v="385"/>
    <x v="1"/>
    <x v="7"/>
    <x v="2"/>
    <s v="No"/>
    <s v="Y"/>
    <n v="4"/>
    <n v="-2"/>
    <n v="0"/>
    <n v="50"/>
    <n v="0"/>
    <m/>
    <n v="0"/>
    <n v="1"/>
    <n v="797"/>
    <n v="4"/>
    <x v="1"/>
    <n v="1"/>
    <n v="1"/>
    <n v="96"/>
    <n v="3"/>
    <n v="5"/>
    <n v="2"/>
    <n v="19144"/>
    <n v="15815"/>
    <n v="3"/>
    <n v="14"/>
    <n v="3"/>
    <n v="1"/>
    <n v="80"/>
    <n v="2"/>
    <n v="28"/>
    <n v="2"/>
    <n v="10"/>
    <n v="4"/>
    <n v="1"/>
    <n v="6"/>
  </r>
  <r>
    <s v="No"/>
    <s v="Travel_Rarely"/>
    <x v="1"/>
    <s v="Current Employees"/>
    <x v="1"/>
    <x v="2"/>
    <s v="STAFF-386"/>
    <n v="386"/>
    <x v="1"/>
    <x v="7"/>
    <x v="1"/>
    <s v="Yes"/>
    <s v="Y"/>
    <n v="5"/>
    <n v="-2"/>
    <n v="0"/>
    <n v="53"/>
    <n v="0"/>
    <m/>
    <n v="0"/>
    <n v="1"/>
    <n v="1070"/>
    <n v="3"/>
    <x v="2"/>
    <n v="1"/>
    <n v="3"/>
    <n v="45"/>
    <n v="3"/>
    <n v="4"/>
    <n v="3"/>
    <n v="17584"/>
    <n v="21016"/>
    <n v="3"/>
    <n v="16"/>
    <n v="3"/>
    <n v="4"/>
    <n v="80"/>
    <n v="3"/>
    <n v="21"/>
    <n v="2"/>
    <n v="5"/>
    <n v="3"/>
    <n v="1"/>
    <n v="3"/>
  </r>
  <r>
    <s v="No"/>
    <s v="Travel_Rarely"/>
    <x v="0"/>
    <s v="Current Employees"/>
    <x v="0"/>
    <x v="0"/>
    <s v="STAFF-387"/>
    <n v="387"/>
    <x v="1"/>
    <x v="0"/>
    <x v="1"/>
    <s v="No"/>
    <s v="Y"/>
    <n v="3"/>
    <n v="-2"/>
    <n v="0"/>
    <n v="42"/>
    <n v="0"/>
    <m/>
    <n v="0"/>
    <n v="1"/>
    <n v="635"/>
    <n v="1"/>
    <x v="1"/>
    <n v="1"/>
    <n v="2"/>
    <n v="99"/>
    <n v="3"/>
    <n v="2"/>
    <n v="2"/>
    <n v="4907"/>
    <n v="24532"/>
    <n v="1"/>
    <n v="25"/>
    <n v="4"/>
    <n v="3"/>
    <n v="80"/>
    <n v="0"/>
    <n v="20"/>
    <n v="3"/>
    <n v="20"/>
    <n v="16"/>
    <n v="11"/>
    <n v="6"/>
  </r>
  <r>
    <s v="No"/>
    <s v="Travel_Frequently"/>
    <x v="2"/>
    <s v="Current Employees"/>
    <x v="0"/>
    <x v="0"/>
    <s v="STAFF-388"/>
    <n v="388"/>
    <x v="1"/>
    <x v="0"/>
    <x v="0"/>
    <s v="No"/>
    <s v="Y"/>
    <n v="3"/>
    <n v="-2"/>
    <n v="0"/>
    <n v="29"/>
    <n v="0"/>
    <m/>
    <n v="0"/>
    <n v="1"/>
    <n v="442"/>
    <n v="2"/>
    <x v="0"/>
    <n v="1"/>
    <n v="2"/>
    <n v="44"/>
    <n v="3"/>
    <n v="2"/>
    <n v="2"/>
    <n v="4554"/>
    <n v="20260"/>
    <n v="1"/>
    <n v="18"/>
    <n v="3"/>
    <n v="1"/>
    <n v="80"/>
    <n v="0"/>
    <n v="10"/>
    <n v="2"/>
    <n v="10"/>
    <n v="7"/>
    <n v="0"/>
    <n v="9"/>
  </r>
  <r>
    <s v="No"/>
    <s v="Travel_Rarely"/>
    <x v="3"/>
    <s v="Current Employees"/>
    <x v="1"/>
    <x v="4"/>
    <s v="STAFF-389"/>
    <n v="389"/>
    <x v="1"/>
    <x v="2"/>
    <x v="1"/>
    <s v="Yes"/>
    <s v="Y"/>
    <n v="4"/>
    <n v="-2"/>
    <n v="0"/>
    <n v="55"/>
    <n v="0"/>
    <m/>
    <n v="0"/>
    <n v="1"/>
    <n v="147"/>
    <n v="20"/>
    <x v="0"/>
    <n v="1"/>
    <n v="4"/>
    <n v="37"/>
    <n v="3"/>
    <n v="2"/>
    <n v="4"/>
    <n v="5415"/>
    <n v="15972"/>
    <n v="3"/>
    <n v="19"/>
    <n v="3"/>
    <n v="4"/>
    <n v="80"/>
    <n v="1"/>
    <n v="12"/>
    <n v="3"/>
    <n v="10"/>
    <n v="7"/>
    <n v="0"/>
    <n v="8"/>
  </r>
  <r>
    <s v="No"/>
    <s v="Travel_Frequently"/>
    <x v="2"/>
    <s v="Current Employees"/>
    <x v="1"/>
    <x v="2"/>
    <s v="STAFF-390"/>
    <n v="390"/>
    <x v="1"/>
    <x v="4"/>
    <x v="1"/>
    <s v="Yes"/>
    <s v="Y"/>
    <n v="3"/>
    <n v="-2"/>
    <n v="0"/>
    <n v="26"/>
    <n v="0"/>
    <m/>
    <n v="0"/>
    <n v="1"/>
    <n v="496"/>
    <n v="11"/>
    <x v="0"/>
    <n v="1"/>
    <n v="1"/>
    <n v="60"/>
    <n v="3"/>
    <n v="2"/>
    <n v="3"/>
    <n v="4741"/>
    <n v="22722"/>
    <n v="1"/>
    <n v="13"/>
    <n v="3"/>
    <n v="3"/>
    <n v="80"/>
    <n v="1"/>
    <n v="5"/>
    <n v="3"/>
    <n v="5"/>
    <n v="3"/>
    <n v="3"/>
    <n v="3"/>
  </r>
  <r>
    <s v="No"/>
    <s v="Travel_Rarely"/>
    <x v="0"/>
    <s v="Current Employees"/>
    <x v="1"/>
    <x v="0"/>
    <s v="STAFF-391"/>
    <n v="391"/>
    <x v="0"/>
    <x v="1"/>
    <x v="0"/>
    <s v="No"/>
    <s v="Y"/>
    <n v="3"/>
    <n v="-2"/>
    <n v="0"/>
    <n v="37"/>
    <n v="0"/>
    <m/>
    <n v="0"/>
    <n v="1"/>
    <n v="1372"/>
    <n v="1"/>
    <x v="3"/>
    <n v="1"/>
    <n v="4"/>
    <n v="42"/>
    <n v="3"/>
    <n v="1"/>
    <n v="2"/>
    <n v="2115"/>
    <n v="15881"/>
    <n v="1"/>
    <n v="12"/>
    <n v="3"/>
    <n v="2"/>
    <n v="80"/>
    <n v="0"/>
    <n v="17"/>
    <n v="3"/>
    <n v="17"/>
    <n v="12"/>
    <n v="5"/>
    <n v="7"/>
  </r>
  <r>
    <s v="Yes"/>
    <s v="Travel_Frequently"/>
    <x v="0"/>
    <s v="Ex-Employees"/>
    <x v="1"/>
    <x v="0"/>
    <s v="STAFF-392"/>
    <n v="392"/>
    <x v="1"/>
    <x v="2"/>
    <x v="2"/>
    <s v="Yes"/>
    <s v="Y"/>
    <n v="0"/>
    <n v="-2"/>
    <n v="0"/>
    <n v="44"/>
    <n v="1"/>
    <n v="1"/>
    <n v="1"/>
    <n v="0"/>
    <n v="920"/>
    <n v="24"/>
    <x v="3"/>
    <n v="1"/>
    <n v="4"/>
    <n v="43"/>
    <n v="3"/>
    <n v="1"/>
    <n v="2"/>
    <n v="3161"/>
    <n v="19920"/>
    <n v="3"/>
    <n v="22"/>
    <n v="4"/>
    <n v="4"/>
    <n v="80"/>
    <n v="1"/>
    <n v="19"/>
    <n v="1"/>
    <n v="1"/>
    <n v="0"/>
    <n v="0"/>
    <n v="0"/>
  </r>
  <r>
    <s v="No"/>
    <s v="Travel_Rarely"/>
    <x v="0"/>
    <s v="Current Employees"/>
    <x v="1"/>
    <x v="0"/>
    <s v="STAFF-393"/>
    <n v="393"/>
    <x v="1"/>
    <x v="4"/>
    <x v="2"/>
    <s v="No"/>
    <s v="Y"/>
    <n v="2"/>
    <n v="-2"/>
    <n v="0"/>
    <n v="38"/>
    <n v="0"/>
    <m/>
    <n v="0"/>
    <n v="1"/>
    <n v="688"/>
    <n v="23"/>
    <x v="2"/>
    <n v="1"/>
    <n v="4"/>
    <n v="82"/>
    <n v="3"/>
    <n v="2"/>
    <n v="2"/>
    <n v="5745"/>
    <n v="18899"/>
    <n v="9"/>
    <n v="14"/>
    <n v="3"/>
    <n v="2"/>
    <n v="80"/>
    <n v="1"/>
    <n v="10"/>
    <n v="3"/>
    <n v="2"/>
    <n v="2"/>
    <n v="1"/>
    <n v="2"/>
  </r>
  <r>
    <s v="Yes"/>
    <s v="Travel_Rarely"/>
    <x v="2"/>
    <s v="Ex-Employees"/>
    <x v="1"/>
    <x v="2"/>
    <s v="STAFF-394"/>
    <n v="394"/>
    <x v="1"/>
    <x v="2"/>
    <x v="2"/>
    <s v="Yes"/>
    <s v="Y"/>
    <n v="2"/>
    <n v="-2"/>
    <n v="0"/>
    <n v="26"/>
    <n v="1"/>
    <n v="1"/>
    <n v="1"/>
    <n v="0"/>
    <n v="1449"/>
    <n v="16"/>
    <x v="2"/>
    <n v="1"/>
    <n v="1"/>
    <n v="45"/>
    <n v="3"/>
    <n v="1"/>
    <n v="3"/>
    <n v="2373"/>
    <n v="14180"/>
    <n v="2"/>
    <n v="13"/>
    <n v="3"/>
    <n v="4"/>
    <n v="80"/>
    <n v="1"/>
    <n v="5"/>
    <n v="3"/>
    <n v="3"/>
    <n v="2"/>
    <n v="0"/>
    <n v="2"/>
  </r>
  <r>
    <s v="No"/>
    <s v="Travel_Rarely"/>
    <x v="2"/>
    <s v="Current Employees"/>
    <x v="1"/>
    <x v="0"/>
    <s v="STAFF-395"/>
    <n v="395"/>
    <x v="0"/>
    <x v="1"/>
    <x v="0"/>
    <s v="No"/>
    <s v="Y"/>
    <n v="3"/>
    <n v="-2"/>
    <n v="0"/>
    <n v="28"/>
    <n v="0"/>
    <m/>
    <n v="0"/>
    <n v="1"/>
    <n v="1117"/>
    <n v="8"/>
    <x v="0"/>
    <n v="1"/>
    <n v="4"/>
    <n v="66"/>
    <n v="3"/>
    <n v="1"/>
    <n v="2"/>
    <n v="3310"/>
    <n v="4488"/>
    <n v="1"/>
    <n v="21"/>
    <n v="4"/>
    <n v="4"/>
    <n v="80"/>
    <n v="0"/>
    <n v="5"/>
    <n v="3"/>
    <n v="5"/>
    <n v="3"/>
    <n v="0"/>
    <n v="2"/>
  </r>
  <r>
    <s v="No"/>
    <s v="Travel_Frequently"/>
    <x v="1"/>
    <s v="Current Employees"/>
    <x v="1"/>
    <x v="0"/>
    <s v="STAFF-396"/>
    <n v="396"/>
    <x v="0"/>
    <x v="7"/>
    <x v="0"/>
    <s v="Yes"/>
    <s v="Y"/>
    <n v="4"/>
    <n v="-2"/>
    <n v="0"/>
    <n v="49"/>
    <n v="0"/>
    <m/>
    <n v="0"/>
    <n v="1"/>
    <n v="636"/>
    <n v="10"/>
    <x v="2"/>
    <n v="1"/>
    <n v="3"/>
    <n v="35"/>
    <n v="3"/>
    <n v="5"/>
    <n v="2"/>
    <n v="18665"/>
    <n v="25594"/>
    <n v="9"/>
    <n v="11"/>
    <n v="3"/>
    <n v="4"/>
    <n v="80"/>
    <n v="0"/>
    <n v="22"/>
    <n v="3"/>
    <n v="3"/>
    <n v="2"/>
    <n v="1"/>
    <n v="2"/>
  </r>
  <r>
    <s v="No"/>
    <s v="Travel_Rarely"/>
    <x v="0"/>
    <s v="Current Employees"/>
    <x v="1"/>
    <x v="4"/>
    <s v="STAFF-397"/>
    <n v="397"/>
    <x v="1"/>
    <x v="1"/>
    <x v="0"/>
    <s v="No"/>
    <s v="Y"/>
    <n v="2"/>
    <n v="-2"/>
    <n v="0"/>
    <n v="36"/>
    <n v="0"/>
    <m/>
    <n v="0"/>
    <n v="1"/>
    <n v="506"/>
    <n v="3"/>
    <x v="3"/>
    <n v="1"/>
    <n v="4"/>
    <n v="30"/>
    <n v="3"/>
    <n v="2"/>
    <n v="4"/>
    <n v="4485"/>
    <n v="26285"/>
    <n v="4"/>
    <n v="12"/>
    <n v="3"/>
    <n v="4"/>
    <n v="80"/>
    <n v="0"/>
    <n v="10"/>
    <n v="3"/>
    <n v="8"/>
    <n v="0"/>
    <n v="7"/>
    <n v="7"/>
  </r>
  <r>
    <s v="No"/>
    <s v="Travel_Frequently"/>
    <x v="2"/>
    <s v="Current Employees"/>
    <x v="0"/>
    <x v="3"/>
    <s v="STAFF-399"/>
    <n v="399"/>
    <x v="0"/>
    <x v="6"/>
    <x v="2"/>
    <s v="No"/>
    <s v="Y"/>
    <n v="5"/>
    <n v="-2"/>
    <n v="0"/>
    <n v="31"/>
    <n v="0"/>
    <m/>
    <n v="0"/>
    <n v="1"/>
    <n v="444"/>
    <n v="5"/>
    <x v="3"/>
    <n v="1"/>
    <n v="4"/>
    <n v="84"/>
    <n v="3"/>
    <n v="1"/>
    <n v="1"/>
    <n v="2789"/>
    <n v="3909"/>
    <n v="1"/>
    <n v="11"/>
    <n v="3"/>
    <n v="3"/>
    <n v="80"/>
    <n v="1"/>
    <n v="2"/>
    <n v="2"/>
    <n v="2"/>
    <n v="2"/>
    <n v="2"/>
    <n v="2"/>
  </r>
  <r>
    <s v="Yes"/>
    <s v="Travel_Rarely"/>
    <x v="2"/>
    <s v="Ex-Employees"/>
    <x v="0"/>
    <x v="3"/>
    <s v="STAFF-401"/>
    <n v="401"/>
    <x v="1"/>
    <x v="0"/>
    <x v="0"/>
    <s v="Yes"/>
    <s v="Y"/>
    <n v="0"/>
    <n v="-2"/>
    <n v="0"/>
    <n v="26"/>
    <n v="1"/>
    <n v="1"/>
    <n v="1"/>
    <n v="0"/>
    <n v="950"/>
    <n v="4"/>
    <x v="2"/>
    <n v="1"/>
    <n v="4"/>
    <n v="48"/>
    <n v="2"/>
    <n v="2"/>
    <n v="1"/>
    <n v="5828"/>
    <n v="8450"/>
    <n v="1"/>
    <n v="12"/>
    <n v="3"/>
    <n v="2"/>
    <n v="80"/>
    <n v="0"/>
    <n v="8"/>
    <n v="3"/>
    <n v="8"/>
    <n v="7"/>
    <n v="7"/>
    <n v="4"/>
  </r>
  <r>
    <s v="No"/>
    <s v="Travel_Frequently"/>
    <x v="0"/>
    <s v="Current Employees"/>
    <x v="1"/>
    <x v="2"/>
    <s v="STAFF-403"/>
    <n v="403"/>
    <x v="1"/>
    <x v="1"/>
    <x v="1"/>
    <s v="Yes"/>
    <s v="Y"/>
    <n v="3"/>
    <n v="-2"/>
    <n v="0"/>
    <n v="37"/>
    <n v="0"/>
    <m/>
    <n v="0"/>
    <n v="1"/>
    <n v="889"/>
    <n v="9"/>
    <x v="3"/>
    <n v="1"/>
    <n v="2"/>
    <n v="53"/>
    <n v="3"/>
    <n v="1"/>
    <n v="4"/>
    <n v="2326"/>
    <n v="11411"/>
    <n v="1"/>
    <n v="12"/>
    <n v="3"/>
    <n v="3"/>
    <n v="80"/>
    <n v="3"/>
    <n v="4"/>
    <n v="2"/>
    <n v="4"/>
    <n v="2"/>
    <n v="1"/>
    <n v="2"/>
  </r>
  <r>
    <s v="No"/>
    <s v="Travel_Frequently"/>
    <x v="0"/>
    <s v="Current Employees"/>
    <x v="0"/>
    <x v="3"/>
    <s v="STAFF-404"/>
    <n v="404"/>
    <x v="0"/>
    <x v="0"/>
    <x v="1"/>
    <s v="No"/>
    <s v="Y"/>
    <n v="2"/>
    <n v="-2"/>
    <n v="0"/>
    <n v="42"/>
    <n v="0"/>
    <m/>
    <n v="0"/>
    <n v="1"/>
    <n v="555"/>
    <n v="26"/>
    <x v="3"/>
    <n v="1"/>
    <n v="3"/>
    <n v="77"/>
    <n v="3"/>
    <n v="4"/>
    <n v="1"/>
    <n v="13525"/>
    <n v="14864"/>
    <n v="5"/>
    <n v="14"/>
    <n v="3"/>
    <n v="4"/>
    <n v="80"/>
    <n v="1"/>
    <n v="23"/>
    <n v="4"/>
    <n v="20"/>
    <n v="4"/>
    <n v="4"/>
    <n v="8"/>
  </r>
  <r>
    <s v="Yes"/>
    <s v="Travel_Rarely"/>
    <x v="4"/>
    <s v="Ex-Employees"/>
    <x v="1"/>
    <x v="0"/>
    <s v="STAFF-405"/>
    <n v="405"/>
    <x v="1"/>
    <x v="2"/>
    <x v="0"/>
    <s v="No"/>
    <s v="Y"/>
    <n v="2"/>
    <n v="-2"/>
    <n v="0"/>
    <n v="18"/>
    <n v="1"/>
    <n v="1"/>
    <n v="1"/>
    <n v="0"/>
    <n v="230"/>
    <n v="3"/>
    <x v="3"/>
    <n v="1"/>
    <n v="3"/>
    <n v="54"/>
    <n v="3"/>
    <n v="1"/>
    <n v="2"/>
    <n v="1420"/>
    <n v="25233"/>
    <n v="1"/>
    <n v="13"/>
    <n v="3"/>
    <n v="3"/>
    <n v="80"/>
    <n v="0"/>
    <n v="0"/>
    <n v="3"/>
    <n v="0"/>
    <n v="0"/>
    <n v="0"/>
    <n v="0"/>
  </r>
  <r>
    <s v="No"/>
    <s v="Travel_Rarely"/>
    <x v="0"/>
    <s v="Current Employees"/>
    <x v="0"/>
    <x v="3"/>
    <s v="STAFF-406"/>
    <n v="406"/>
    <x v="1"/>
    <x v="0"/>
    <x v="1"/>
    <s v="No"/>
    <s v="Y"/>
    <n v="3"/>
    <n v="-2"/>
    <n v="0"/>
    <n v="35"/>
    <n v="0"/>
    <m/>
    <n v="0"/>
    <n v="1"/>
    <n v="1232"/>
    <n v="16"/>
    <x v="3"/>
    <n v="1"/>
    <n v="3"/>
    <n v="96"/>
    <n v="3"/>
    <n v="3"/>
    <n v="1"/>
    <n v="8020"/>
    <n v="5100"/>
    <n v="0"/>
    <n v="15"/>
    <n v="3"/>
    <n v="3"/>
    <n v="80"/>
    <n v="2"/>
    <n v="12"/>
    <n v="2"/>
    <n v="11"/>
    <n v="9"/>
    <n v="6"/>
    <n v="9"/>
  </r>
  <r>
    <s v="No"/>
    <s v="Travel_Frequently"/>
    <x v="0"/>
    <s v="Current Employees"/>
    <x v="1"/>
    <x v="0"/>
    <s v="STAFF-407"/>
    <n v="407"/>
    <x v="1"/>
    <x v="2"/>
    <x v="1"/>
    <s v="No"/>
    <s v="Y"/>
    <n v="2"/>
    <n v="-2"/>
    <n v="0"/>
    <n v="36"/>
    <n v="0"/>
    <m/>
    <n v="0"/>
    <n v="1"/>
    <n v="566"/>
    <n v="18"/>
    <x v="2"/>
    <n v="1"/>
    <n v="3"/>
    <n v="81"/>
    <n v="4"/>
    <n v="1"/>
    <n v="2"/>
    <n v="3688"/>
    <n v="7122"/>
    <n v="4"/>
    <n v="18"/>
    <n v="3"/>
    <n v="4"/>
    <n v="80"/>
    <n v="2"/>
    <n v="4"/>
    <n v="3"/>
    <n v="1"/>
    <n v="0"/>
    <n v="0"/>
    <n v="0"/>
  </r>
  <r>
    <s v="No"/>
    <s v="Travel_Rarely"/>
    <x v="1"/>
    <s v="Current Employees"/>
    <x v="1"/>
    <x v="2"/>
    <s v="STAFF-408"/>
    <n v="408"/>
    <x v="1"/>
    <x v="3"/>
    <x v="2"/>
    <s v="No"/>
    <s v="Y"/>
    <n v="3"/>
    <n v="-2"/>
    <n v="0"/>
    <n v="51"/>
    <n v="0"/>
    <m/>
    <n v="0"/>
    <n v="1"/>
    <n v="1302"/>
    <n v="2"/>
    <x v="3"/>
    <n v="1"/>
    <n v="4"/>
    <n v="84"/>
    <n v="1"/>
    <n v="2"/>
    <n v="3"/>
    <n v="5482"/>
    <n v="16321"/>
    <n v="5"/>
    <n v="18"/>
    <n v="3"/>
    <n v="4"/>
    <n v="80"/>
    <n v="1"/>
    <n v="13"/>
    <n v="3"/>
    <n v="4"/>
    <n v="1"/>
    <n v="1"/>
    <n v="2"/>
  </r>
  <r>
    <s v="No"/>
    <s v="Travel_Rarely"/>
    <x v="0"/>
    <s v="Current Employees"/>
    <x v="0"/>
    <x v="0"/>
    <s v="STAFF-410"/>
    <n v="410"/>
    <x v="1"/>
    <x v="5"/>
    <x v="0"/>
    <s v="No"/>
    <s v="Y"/>
    <n v="2"/>
    <n v="-2"/>
    <n v="0"/>
    <n v="41"/>
    <n v="0"/>
    <m/>
    <n v="0"/>
    <n v="1"/>
    <n v="334"/>
    <n v="2"/>
    <x v="2"/>
    <n v="1"/>
    <n v="4"/>
    <n v="88"/>
    <n v="3"/>
    <n v="4"/>
    <n v="2"/>
    <n v="16015"/>
    <n v="15896"/>
    <n v="1"/>
    <n v="19"/>
    <n v="3"/>
    <n v="2"/>
    <n v="80"/>
    <n v="0"/>
    <n v="22"/>
    <n v="3"/>
    <n v="22"/>
    <n v="10"/>
    <n v="0"/>
    <n v="4"/>
  </r>
  <r>
    <s v="No"/>
    <s v="Travel_Rarely"/>
    <x v="4"/>
    <s v="Current Employees"/>
    <x v="0"/>
    <x v="2"/>
    <s v="STAFF-411"/>
    <n v="411"/>
    <x v="0"/>
    <x v="6"/>
    <x v="0"/>
    <s v="No"/>
    <s v="Y"/>
    <n v="2"/>
    <n v="-2"/>
    <n v="0"/>
    <n v="18"/>
    <n v="0"/>
    <m/>
    <n v="0"/>
    <n v="1"/>
    <n v="812"/>
    <n v="10"/>
    <x v="3"/>
    <n v="1"/>
    <n v="4"/>
    <n v="69"/>
    <n v="2"/>
    <n v="1"/>
    <n v="3"/>
    <n v="1200"/>
    <n v="9724"/>
    <n v="1"/>
    <n v="12"/>
    <n v="3"/>
    <n v="1"/>
    <n v="80"/>
    <n v="0"/>
    <n v="0"/>
    <n v="3"/>
    <n v="0"/>
    <n v="0"/>
    <n v="0"/>
    <n v="0"/>
  </r>
  <r>
    <s v="No"/>
    <s v="Travel_Rarely"/>
    <x v="2"/>
    <s v="Current Employees"/>
    <x v="1"/>
    <x v="2"/>
    <s v="STAFF-412"/>
    <n v="412"/>
    <x v="1"/>
    <x v="4"/>
    <x v="0"/>
    <s v="No"/>
    <s v="Y"/>
    <n v="2"/>
    <n v="-2"/>
    <n v="0"/>
    <n v="28"/>
    <n v="0"/>
    <m/>
    <n v="0"/>
    <n v="1"/>
    <n v="1476"/>
    <n v="16"/>
    <x v="0"/>
    <n v="1"/>
    <n v="2"/>
    <n v="68"/>
    <n v="4"/>
    <n v="2"/>
    <n v="3"/>
    <n v="5661"/>
    <n v="4824"/>
    <n v="0"/>
    <n v="19"/>
    <n v="3"/>
    <n v="3"/>
    <n v="80"/>
    <n v="0"/>
    <n v="9"/>
    <n v="3"/>
    <n v="8"/>
    <n v="3"/>
    <n v="0"/>
    <n v="7"/>
  </r>
  <r>
    <s v="No"/>
    <s v="Travel_Rarely"/>
    <x v="2"/>
    <s v="Current Employees"/>
    <x v="0"/>
    <x v="4"/>
    <s v="STAFF-416"/>
    <n v="416"/>
    <x v="1"/>
    <x v="0"/>
    <x v="1"/>
    <s v="No"/>
    <s v="Y"/>
    <n v="3"/>
    <n v="-2"/>
    <n v="0"/>
    <n v="31"/>
    <n v="0"/>
    <m/>
    <n v="0"/>
    <n v="1"/>
    <n v="218"/>
    <n v="7"/>
    <x v="3"/>
    <n v="1"/>
    <n v="4"/>
    <n v="100"/>
    <n v="4"/>
    <n v="2"/>
    <n v="4"/>
    <n v="6929"/>
    <n v="12241"/>
    <n v="4"/>
    <n v="11"/>
    <n v="3"/>
    <n v="2"/>
    <n v="80"/>
    <n v="1"/>
    <n v="10"/>
    <n v="2"/>
    <n v="8"/>
    <n v="7"/>
    <n v="7"/>
    <n v="7"/>
  </r>
  <r>
    <s v="No"/>
    <s v="Travel_Rarely"/>
    <x v="0"/>
    <s v="Current Employees"/>
    <x v="1"/>
    <x v="2"/>
    <s v="STAFF-417"/>
    <n v="417"/>
    <x v="1"/>
    <x v="4"/>
    <x v="2"/>
    <s v="No"/>
    <s v="Y"/>
    <n v="5"/>
    <n v="-2"/>
    <n v="0"/>
    <n v="39"/>
    <n v="0"/>
    <m/>
    <n v="0"/>
    <n v="1"/>
    <n v="1132"/>
    <n v="1"/>
    <x v="3"/>
    <n v="1"/>
    <n v="3"/>
    <n v="48"/>
    <n v="4"/>
    <n v="3"/>
    <n v="4"/>
    <n v="9613"/>
    <n v="10942"/>
    <n v="0"/>
    <n v="17"/>
    <n v="3"/>
    <n v="1"/>
    <n v="80"/>
    <n v="3"/>
    <n v="19"/>
    <n v="2"/>
    <n v="18"/>
    <n v="10"/>
    <n v="3"/>
    <n v="7"/>
  </r>
  <r>
    <s v="No"/>
    <s v="Non-Travel"/>
    <x v="0"/>
    <s v="Current Employees"/>
    <x v="1"/>
    <x v="0"/>
    <s v="STAFF-419"/>
    <n v="419"/>
    <x v="0"/>
    <x v="2"/>
    <x v="1"/>
    <s v="No"/>
    <s v="Y"/>
    <n v="3"/>
    <n v="-2"/>
    <n v="0"/>
    <n v="36"/>
    <n v="0"/>
    <m/>
    <n v="0"/>
    <n v="1"/>
    <n v="1105"/>
    <n v="24"/>
    <x v="2"/>
    <n v="1"/>
    <n v="2"/>
    <n v="47"/>
    <n v="3"/>
    <n v="2"/>
    <n v="2"/>
    <n v="5674"/>
    <n v="6927"/>
    <n v="7"/>
    <n v="15"/>
    <n v="3"/>
    <n v="3"/>
    <n v="80"/>
    <n v="1"/>
    <n v="11"/>
    <n v="3"/>
    <n v="9"/>
    <n v="8"/>
    <n v="0"/>
    <n v="8"/>
  </r>
  <r>
    <s v="No"/>
    <s v="Travel_Rarely"/>
    <x v="2"/>
    <s v="Current Employees"/>
    <x v="0"/>
    <x v="0"/>
    <s v="STAFF-420"/>
    <n v="420"/>
    <x v="1"/>
    <x v="0"/>
    <x v="1"/>
    <s v="No"/>
    <s v="Y"/>
    <n v="3"/>
    <n v="-2"/>
    <n v="0"/>
    <n v="32"/>
    <n v="0"/>
    <m/>
    <n v="0"/>
    <n v="1"/>
    <n v="906"/>
    <n v="7"/>
    <x v="3"/>
    <n v="1"/>
    <n v="4"/>
    <n v="91"/>
    <n v="2"/>
    <n v="2"/>
    <n v="2"/>
    <n v="5484"/>
    <n v="16985"/>
    <n v="1"/>
    <n v="14"/>
    <n v="3"/>
    <n v="3"/>
    <n v="80"/>
    <n v="1"/>
    <n v="13"/>
    <n v="2"/>
    <n v="13"/>
    <n v="8"/>
    <n v="4"/>
    <n v="8"/>
  </r>
  <r>
    <s v="No"/>
    <s v="Travel_Rarely"/>
    <x v="0"/>
    <s v="Current Employees"/>
    <x v="1"/>
    <x v="0"/>
    <s v="STAFF-421"/>
    <n v="421"/>
    <x v="0"/>
    <x v="7"/>
    <x v="1"/>
    <s v="No"/>
    <s v="Y"/>
    <n v="2"/>
    <n v="-2"/>
    <n v="0"/>
    <n v="38"/>
    <n v="0"/>
    <m/>
    <n v="0"/>
    <n v="1"/>
    <n v="849"/>
    <n v="25"/>
    <x v="0"/>
    <n v="1"/>
    <n v="1"/>
    <n v="81"/>
    <n v="2"/>
    <n v="3"/>
    <n v="2"/>
    <n v="12061"/>
    <n v="26707"/>
    <n v="3"/>
    <n v="17"/>
    <n v="3"/>
    <n v="3"/>
    <n v="80"/>
    <n v="1"/>
    <n v="19"/>
    <n v="3"/>
    <n v="10"/>
    <n v="8"/>
    <n v="0"/>
    <n v="1"/>
  </r>
  <r>
    <s v="No"/>
    <s v="Non-Travel"/>
    <x v="3"/>
    <s v="Current Employees"/>
    <x v="1"/>
    <x v="0"/>
    <s v="STAFF-422"/>
    <n v="422"/>
    <x v="1"/>
    <x v="4"/>
    <x v="2"/>
    <s v="Yes"/>
    <s v="Y"/>
    <n v="2"/>
    <n v="-2"/>
    <n v="0"/>
    <n v="58"/>
    <n v="0"/>
    <m/>
    <n v="0"/>
    <n v="1"/>
    <n v="390"/>
    <n v="1"/>
    <x v="2"/>
    <n v="1"/>
    <n v="4"/>
    <n v="32"/>
    <n v="1"/>
    <n v="2"/>
    <n v="2"/>
    <n v="5660"/>
    <n v="17056"/>
    <n v="2"/>
    <n v="13"/>
    <n v="3"/>
    <n v="4"/>
    <n v="80"/>
    <n v="1"/>
    <n v="12"/>
    <n v="3"/>
    <n v="5"/>
    <n v="3"/>
    <n v="1"/>
    <n v="2"/>
  </r>
  <r>
    <s v="No"/>
    <s v="Travel_Rarely"/>
    <x v="2"/>
    <s v="Current Employees"/>
    <x v="1"/>
    <x v="4"/>
    <s v="STAFF-423"/>
    <n v="423"/>
    <x v="1"/>
    <x v="1"/>
    <x v="1"/>
    <s v="Yes"/>
    <s v="Y"/>
    <n v="4"/>
    <n v="-2"/>
    <n v="0"/>
    <n v="31"/>
    <n v="0"/>
    <m/>
    <n v="0"/>
    <n v="1"/>
    <n v="691"/>
    <n v="5"/>
    <x v="2"/>
    <n v="1"/>
    <n v="4"/>
    <n v="86"/>
    <n v="3"/>
    <n v="1"/>
    <n v="4"/>
    <n v="4821"/>
    <n v="10077"/>
    <n v="0"/>
    <n v="12"/>
    <n v="3"/>
    <n v="3"/>
    <n v="80"/>
    <n v="1"/>
    <n v="6"/>
    <n v="3"/>
    <n v="5"/>
    <n v="2"/>
    <n v="0"/>
    <n v="3"/>
  </r>
  <r>
    <s v="No"/>
    <s v="Travel_Rarely"/>
    <x v="2"/>
    <s v="Current Employees"/>
    <x v="2"/>
    <x v="5"/>
    <s v="STAFF-424"/>
    <n v="424"/>
    <x v="1"/>
    <x v="8"/>
    <x v="1"/>
    <s v="No"/>
    <s v="Y"/>
    <n v="1"/>
    <n v="-2"/>
    <n v="0"/>
    <n v="31"/>
    <n v="0"/>
    <m/>
    <n v="0"/>
    <n v="1"/>
    <n v="106"/>
    <n v="2"/>
    <x v="3"/>
    <n v="1"/>
    <n v="1"/>
    <n v="62"/>
    <n v="2"/>
    <n v="2"/>
    <n v="3"/>
    <n v="6410"/>
    <n v="17822"/>
    <n v="3"/>
    <n v="12"/>
    <n v="3"/>
    <n v="4"/>
    <n v="80"/>
    <n v="0"/>
    <n v="9"/>
    <n v="3"/>
    <n v="2"/>
    <n v="2"/>
    <n v="1"/>
    <n v="0"/>
  </r>
  <r>
    <s v="No"/>
    <s v="Travel_Frequently"/>
    <x v="1"/>
    <s v="Current Employees"/>
    <x v="1"/>
    <x v="0"/>
    <s v="STAFF-425"/>
    <n v="425"/>
    <x v="1"/>
    <x v="2"/>
    <x v="2"/>
    <s v="No"/>
    <s v="Y"/>
    <n v="2"/>
    <n v="-2"/>
    <n v="0"/>
    <n v="45"/>
    <n v="0"/>
    <m/>
    <n v="0"/>
    <n v="1"/>
    <n v="1249"/>
    <n v="7"/>
    <x v="3"/>
    <n v="1"/>
    <n v="1"/>
    <n v="97"/>
    <n v="3"/>
    <n v="3"/>
    <n v="2"/>
    <n v="5210"/>
    <n v="20308"/>
    <n v="1"/>
    <n v="18"/>
    <n v="3"/>
    <n v="1"/>
    <n v="80"/>
    <n v="1"/>
    <n v="24"/>
    <n v="3"/>
    <n v="24"/>
    <n v="9"/>
    <n v="9"/>
    <n v="11"/>
  </r>
  <r>
    <s v="No"/>
    <s v="Travel_Rarely"/>
    <x v="2"/>
    <s v="Current Employees"/>
    <x v="1"/>
    <x v="0"/>
    <s v="STAFF-426"/>
    <n v="426"/>
    <x v="1"/>
    <x v="1"/>
    <x v="2"/>
    <s v="Yes"/>
    <s v="Y"/>
    <n v="2"/>
    <n v="-2"/>
    <n v="0"/>
    <n v="31"/>
    <n v="0"/>
    <m/>
    <n v="0"/>
    <n v="1"/>
    <n v="192"/>
    <n v="2"/>
    <x v="2"/>
    <n v="1"/>
    <n v="3"/>
    <n v="32"/>
    <n v="3"/>
    <n v="1"/>
    <n v="2"/>
    <n v="2695"/>
    <n v="7747"/>
    <n v="0"/>
    <n v="18"/>
    <n v="3"/>
    <n v="2"/>
    <n v="80"/>
    <n v="1"/>
    <n v="3"/>
    <n v="1"/>
    <n v="2"/>
    <n v="2"/>
    <n v="2"/>
    <n v="2"/>
  </r>
  <r>
    <s v="No"/>
    <s v="Travel_Frequently"/>
    <x v="2"/>
    <s v="Current Employees"/>
    <x v="1"/>
    <x v="0"/>
    <s v="STAFF-428"/>
    <n v="428"/>
    <x v="0"/>
    <x v="5"/>
    <x v="1"/>
    <s v="No"/>
    <s v="Y"/>
    <n v="2"/>
    <n v="-2"/>
    <n v="0"/>
    <n v="33"/>
    <n v="0"/>
    <m/>
    <n v="0"/>
    <n v="1"/>
    <n v="553"/>
    <n v="5"/>
    <x v="2"/>
    <n v="1"/>
    <n v="4"/>
    <n v="74"/>
    <n v="3"/>
    <n v="3"/>
    <n v="2"/>
    <n v="11878"/>
    <n v="23364"/>
    <n v="6"/>
    <n v="11"/>
    <n v="3"/>
    <n v="2"/>
    <n v="80"/>
    <n v="2"/>
    <n v="12"/>
    <n v="3"/>
    <n v="10"/>
    <n v="6"/>
    <n v="8"/>
    <n v="8"/>
  </r>
  <r>
    <s v="No"/>
    <s v="Travel_Rarely"/>
    <x v="0"/>
    <s v="Current Employees"/>
    <x v="1"/>
    <x v="2"/>
    <s v="STAFF-429"/>
    <n v="429"/>
    <x v="1"/>
    <x v="5"/>
    <x v="1"/>
    <s v="Yes"/>
    <s v="Y"/>
    <n v="3"/>
    <n v="-2"/>
    <n v="0"/>
    <n v="39"/>
    <n v="0"/>
    <m/>
    <n v="0"/>
    <n v="1"/>
    <n v="117"/>
    <n v="10"/>
    <x v="1"/>
    <n v="1"/>
    <n v="3"/>
    <n v="99"/>
    <n v="3"/>
    <n v="4"/>
    <n v="3"/>
    <n v="17068"/>
    <n v="5355"/>
    <n v="1"/>
    <n v="14"/>
    <n v="3"/>
    <n v="4"/>
    <n v="80"/>
    <n v="0"/>
    <n v="21"/>
    <n v="3"/>
    <n v="21"/>
    <n v="9"/>
    <n v="11"/>
    <n v="10"/>
  </r>
  <r>
    <s v="No"/>
    <s v="Travel_Frequently"/>
    <x v="0"/>
    <s v="Current Employees"/>
    <x v="1"/>
    <x v="0"/>
    <s v="STAFF-430"/>
    <n v="430"/>
    <x v="0"/>
    <x v="2"/>
    <x v="0"/>
    <s v="No"/>
    <s v="Y"/>
    <n v="5"/>
    <n v="-2"/>
    <n v="0"/>
    <n v="43"/>
    <n v="0"/>
    <m/>
    <n v="0"/>
    <n v="1"/>
    <n v="185"/>
    <n v="10"/>
    <x v="2"/>
    <n v="1"/>
    <n v="3"/>
    <n v="33"/>
    <n v="3"/>
    <n v="1"/>
    <n v="2"/>
    <n v="2455"/>
    <n v="10675"/>
    <n v="0"/>
    <n v="19"/>
    <n v="3"/>
    <n v="1"/>
    <n v="80"/>
    <n v="0"/>
    <n v="9"/>
    <n v="3"/>
    <n v="8"/>
    <n v="7"/>
    <n v="1"/>
    <n v="7"/>
  </r>
  <r>
    <s v="No"/>
    <s v="Travel_Rarely"/>
    <x v="1"/>
    <s v="Current Employees"/>
    <x v="1"/>
    <x v="4"/>
    <s v="STAFF-431"/>
    <n v="431"/>
    <x v="0"/>
    <x v="4"/>
    <x v="0"/>
    <s v="Yes"/>
    <s v="Y"/>
    <n v="2"/>
    <n v="-2"/>
    <n v="0"/>
    <n v="49"/>
    <n v="0"/>
    <m/>
    <n v="0"/>
    <n v="1"/>
    <n v="1091"/>
    <n v="1"/>
    <x v="0"/>
    <n v="1"/>
    <n v="4"/>
    <n v="90"/>
    <n v="2"/>
    <n v="4"/>
    <n v="4"/>
    <n v="13964"/>
    <n v="17810"/>
    <n v="7"/>
    <n v="12"/>
    <n v="3"/>
    <n v="4"/>
    <n v="80"/>
    <n v="0"/>
    <n v="25"/>
    <n v="3"/>
    <n v="7"/>
    <n v="1"/>
    <n v="0"/>
    <n v="7"/>
  </r>
  <r>
    <s v="Yes"/>
    <s v="Travel_Rarely"/>
    <x v="1"/>
    <s v="Ex-Employees"/>
    <x v="1"/>
    <x v="2"/>
    <s v="STAFF-433"/>
    <n v="433"/>
    <x v="1"/>
    <x v="1"/>
    <x v="1"/>
    <s v="No"/>
    <s v="Y"/>
    <n v="3"/>
    <n v="-2"/>
    <n v="0"/>
    <n v="52"/>
    <n v="1"/>
    <n v="1"/>
    <n v="1"/>
    <n v="0"/>
    <n v="723"/>
    <n v="8"/>
    <x v="2"/>
    <n v="1"/>
    <n v="3"/>
    <n v="85"/>
    <n v="2"/>
    <n v="2"/>
    <n v="3"/>
    <n v="4941"/>
    <n v="17747"/>
    <n v="2"/>
    <n v="15"/>
    <n v="3"/>
    <n v="1"/>
    <n v="80"/>
    <n v="0"/>
    <n v="11"/>
    <n v="2"/>
    <n v="8"/>
    <n v="2"/>
    <n v="7"/>
    <n v="7"/>
  </r>
  <r>
    <s v="No"/>
    <s v="Travel_Rarely"/>
    <x v="2"/>
    <s v="Current Employees"/>
    <x v="1"/>
    <x v="0"/>
    <s v="STAFF-434"/>
    <n v="434"/>
    <x v="0"/>
    <x v="1"/>
    <x v="0"/>
    <s v="Yes"/>
    <s v="Y"/>
    <n v="2"/>
    <n v="-2"/>
    <n v="0"/>
    <n v="27"/>
    <n v="0"/>
    <m/>
    <n v="0"/>
    <n v="1"/>
    <n v="1220"/>
    <n v="5"/>
    <x v="3"/>
    <n v="1"/>
    <n v="3"/>
    <n v="85"/>
    <n v="3"/>
    <n v="1"/>
    <n v="2"/>
    <n v="2478"/>
    <n v="20938"/>
    <n v="1"/>
    <n v="12"/>
    <n v="3"/>
    <n v="2"/>
    <n v="80"/>
    <n v="0"/>
    <n v="4"/>
    <n v="2"/>
    <n v="4"/>
    <n v="3"/>
    <n v="1"/>
    <n v="2"/>
  </r>
  <r>
    <s v="No"/>
    <s v="Travel_Rarely"/>
    <x v="2"/>
    <s v="Current Employees"/>
    <x v="0"/>
    <x v="4"/>
    <s v="STAFF-436"/>
    <n v="436"/>
    <x v="0"/>
    <x v="0"/>
    <x v="1"/>
    <s v="Yes"/>
    <s v="Y"/>
    <n v="2"/>
    <n v="-2"/>
    <n v="0"/>
    <n v="32"/>
    <n v="0"/>
    <m/>
    <n v="0"/>
    <n v="1"/>
    <n v="588"/>
    <n v="8"/>
    <x v="0"/>
    <n v="1"/>
    <n v="4"/>
    <n v="65"/>
    <n v="2"/>
    <n v="2"/>
    <n v="4"/>
    <n v="5228"/>
    <n v="24624"/>
    <n v="1"/>
    <n v="11"/>
    <n v="3"/>
    <n v="4"/>
    <n v="80"/>
    <n v="0"/>
    <n v="13"/>
    <n v="3"/>
    <n v="13"/>
    <n v="12"/>
    <n v="11"/>
    <n v="9"/>
  </r>
  <r>
    <s v="No"/>
    <s v="Travel_Rarely"/>
    <x v="2"/>
    <s v="Current Employees"/>
    <x v="0"/>
    <x v="0"/>
    <s v="STAFF-437"/>
    <n v="437"/>
    <x v="1"/>
    <x v="0"/>
    <x v="0"/>
    <s v="Yes"/>
    <s v="Y"/>
    <n v="3"/>
    <n v="-2"/>
    <n v="0"/>
    <n v="27"/>
    <n v="0"/>
    <m/>
    <n v="0"/>
    <n v="1"/>
    <n v="1377"/>
    <n v="2"/>
    <x v="3"/>
    <n v="1"/>
    <n v="4"/>
    <n v="74"/>
    <n v="3"/>
    <n v="2"/>
    <n v="2"/>
    <n v="4478"/>
    <n v="5242"/>
    <n v="1"/>
    <n v="11"/>
    <n v="3"/>
    <n v="1"/>
    <n v="80"/>
    <n v="0"/>
    <n v="5"/>
    <n v="3"/>
    <n v="5"/>
    <n v="4"/>
    <n v="0"/>
    <n v="4"/>
  </r>
  <r>
    <s v="No"/>
    <s v="Travel_Rarely"/>
    <x v="2"/>
    <s v="Current Employees"/>
    <x v="0"/>
    <x v="3"/>
    <s v="STAFF-438"/>
    <n v="438"/>
    <x v="1"/>
    <x v="0"/>
    <x v="2"/>
    <s v="No"/>
    <s v="Y"/>
    <n v="3"/>
    <n v="-2"/>
    <n v="0"/>
    <n v="31"/>
    <n v="0"/>
    <m/>
    <n v="0"/>
    <n v="1"/>
    <n v="691"/>
    <n v="7"/>
    <x v="3"/>
    <n v="1"/>
    <n v="4"/>
    <n v="73"/>
    <n v="3"/>
    <n v="2"/>
    <n v="1"/>
    <n v="7547"/>
    <n v="7143"/>
    <n v="4"/>
    <n v="12"/>
    <n v="3"/>
    <n v="4"/>
    <n v="80"/>
    <n v="3"/>
    <n v="13"/>
    <n v="3"/>
    <n v="7"/>
    <n v="7"/>
    <n v="1"/>
    <n v="7"/>
  </r>
  <r>
    <s v="No"/>
    <s v="Travel_Rarely"/>
    <x v="2"/>
    <s v="Current Employees"/>
    <x v="1"/>
    <x v="2"/>
    <s v="STAFF-439"/>
    <n v="439"/>
    <x v="0"/>
    <x v="1"/>
    <x v="0"/>
    <s v="No"/>
    <s v="Y"/>
    <n v="0"/>
    <n v="-2"/>
    <n v="0"/>
    <n v="32"/>
    <n v="0"/>
    <m/>
    <n v="0"/>
    <n v="1"/>
    <n v="1018"/>
    <n v="2"/>
    <x v="2"/>
    <n v="1"/>
    <n v="1"/>
    <n v="74"/>
    <n v="4"/>
    <n v="2"/>
    <n v="4"/>
    <n v="5055"/>
    <n v="10557"/>
    <n v="7"/>
    <n v="16"/>
    <n v="3"/>
    <n v="3"/>
    <n v="80"/>
    <n v="0"/>
    <n v="10"/>
    <n v="2"/>
    <n v="7"/>
    <n v="7"/>
    <n v="0"/>
    <n v="7"/>
  </r>
  <r>
    <s v="Yes"/>
    <s v="Travel_Rarely"/>
    <x v="2"/>
    <s v="Ex-Employees"/>
    <x v="1"/>
    <x v="2"/>
    <s v="STAFF-440"/>
    <n v="440"/>
    <x v="1"/>
    <x v="1"/>
    <x v="1"/>
    <s v="Yes"/>
    <s v="Y"/>
    <n v="4"/>
    <n v="-2"/>
    <n v="0"/>
    <n v="28"/>
    <n v="1"/>
    <n v="1"/>
    <n v="1"/>
    <n v="0"/>
    <n v="1157"/>
    <n v="2"/>
    <x v="2"/>
    <n v="1"/>
    <n v="1"/>
    <n v="84"/>
    <n v="1"/>
    <n v="1"/>
    <n v="4"/>
    <n v="3464"/>
    <n v="24737"/>
    <n v="5"/>
    <n v="13"/>
    <n v="3"/>
    <n v="4"/>
    <n v="80"/>
    <n v="0"/>
    <n v="5"/>
    <n v="2"/>
    <n v="3"/>
    <n v="2"/>
    <n v="2"/>
    <n v="2"/>
  </r>
  <r>
    <s v="No"/>
    <s v="Travel_Rarely"/>
    <x v="2"/>
    <s v="Current Employees"/>
    <x v="1"/>
    <x v="2"/>
    <s v="STAFF-441"/>
    <n v="441"/>
    <x v="0"/>
    <x v="1"/>
    <x v="1"/>
    <s v="No"/>
    <s v="Y"/>
    <n v="2"/>
    <n v="-2"/>
    <n v="0"/>
    <n v="30"/>
    <n v="0"/>
    <m/>
    <n v="0"/>
    <n v="1"/>
    <n v="1275"/>
    <n v="28"/>
    <x v="0"/>
    <n v="1"/>
    <n v="4"/>
    <n v="64"/>
    <n v="3"/>
    <n v="2"/>
    <n v="4"/>
    <n v="5775"/>
    <n v="11934"/>
    <n v="1"/>
    <n v="13"/>
    <n v="3"/>
    <n v="4"/>
    <n v="80"/>
    <n v="2"/>
    <n v="11"/>
    <n v="3"/>
    <n v="10"/>
    <n v="8"/>
    <n v="1"/>
    <n v="9"/>
  </r>
  <r>
    <s v="No"/>
    <s v="Travel_Frequently"/>
    <x v="2"/>
    <s v="Current Employees"/>
    <x v="1"/>
    <x v="0"/>
    <s v="STAFF-442"/>
    <n v="442"/>
    <x v="0"/>
    <x v="3"/>
    <x v="1"/>
    <s v="No"/>
    <s v="Y"/>
    <n v="2"/>
    <n v="-2"/>
    <n v="0"/>
    <n v="31"/>
    <n v="0"/>
    <m/>
    <n v="0"/>
    <n v="1"/>
    <n v="798"/>
    <n v="7"/>
    <x v="0"/>
    <n v="1"/>
    <n v="3"/>
    <n v="48"/>
    <n v="2"/>
    <n v="3"/>
    <n v="2"/>
    <n v="8943"/>
    <n v="14034"/>
    <n v="1"/>
    <n v="24"/>
    <n v="4"/>
    <n v="1"/>
    <n v="80"/>
    <n v="1"/>
    <n v="10"/>
    <n v="3"/>
    <n v="10"/>
    <n v="9"/>
    <n v="8"/>
    <n v="9"/>
  </r>
  <r>
    <s v="No"/>
    <s v="Travel_Frequently"/>
    <x v="0"/>
    <s v="Current Employees"/>
    <x v="1"/>
    <x v="2"/>
    <s v="STAFF-444"/>
    <n v="444"/>
    <x v="1"/>
    <x v="5"/>
    <x v="1"/>
    <s v="No"/>
    <s v="Y"/>
    <n v="2"/>
    <n v="-2"/>
    <n v="0"/>
    <n v="39"/>
    <n v="0"/>
    <m/>
    <n v="0"/>
    <n v="1"/>
    <n v="672"/>
    <n v="7"/>
    <x v="0"/>
    <n v="1"/>
    <n v="3"/>
    <n v="54"/>
    <n v="2"/>
    <n v="5"/>
    <n v="4"/>
    <n v="19272"/>
    <n v="21141"/>
    <n v="1"/>
    <n v="15"/>
    <n v="3"/>
    <n v="1"/>
    <n v="80"/>
    <n v="1"/>
    <n v="21"/>
    <n v="3"/>
    <n v="21"/>
    <n v="9"/>
    <n v="13"/>
    <n v="3"/>
  </r>
  <r>
    <s v="Yes"/>
    <s v="Travel_Rarely"/>
    <x v="0"/>
    <s v="Ex-Employees"/>
    <x v="0"/>
    <x v="2"/>
    <s v="STAFF-445"/>
    <n v="445"/>
    <x v="0"/>
    <x v="0"/>
    <x v="1"/>
    <s v="Yes"/>
    <s v="Y"/>
    <n v="3"/>
    <n v="-2"/>
    <n v="0"/>
    <n v="39"/>
    <n v="1"/>
    <n v="1"/>
    <n v="1"/>
    <n v="0"/>
    <n v="1162"/>
    <n v="3"/>
    <x v="0"/>
    <n v="1"/>
    <n v="4"/>
    <n v="41"/>
    <n v="3"/>
    <n v="2"/>
    <n v="3"/>
    <n v="5238"/>
    <n v="17778"/>
    <n v="4"/>
    <n v="18"/>
    <n v="3"/>
    <n v="1"/>
    <n v="80"/>
    <n v="0"/>
    <n v="12"/>
    <n v="2"/>
    <n v="1"/>
    <n v="0"/>
    <n v="0"/>
    <n v="0"/>
  </r>
  <r>
    <s v="No"/>
    <s v="Travel_Frequently"/>
    <x v="2"/>
    <s v="Current Employees"/>
    <x v="0"/>
    <x v="3"/>
    <s v="STAFF-446"/>
    <n v="446"/>
    <x v="1"/>
    <x v="0"/>
    <x v="0"/>
    <s v="No"/>
    <s v="Y"/>
    <n v="6"/>
    <n v="-2"/>
    <n v="0"/>
    <n v="33"/>
    <n v="0"/>
    <m/>
    <n v="0"/>
    <n v="1"/>
    <n v="508"/>
    <n v="10"/>
    <x v="3"/>
    <n v="1"/>
    <n v="2"/>
    <n v="46"/>
    <n v="2"/>
    <n v="2"/>
    <n v="1"/>
    <n v="4682"/>
    <n v="4317"/>
    <n v="3"/>
    <n v="14"/>
    <n v="3"/>
    <n v="3"/>
    <n v="80"/>
    <n v="0"/>
    <n v="9"/>
    <n v="2"/>
    <n v="7"/>
    <n v="7"/>
    <n v="0"/>
    <n v="1"/>
  </r>
  <r>
    <s v="No"/>
    <s v="Travel_Rarely"/>
    <x v="1"/>
    <s v="Current Employees"/>
    <x v="1"/>
    <x v="0"/>
    <s v="STAFF-447"/>
    <n v="447"/>
    <x v="1"/>
    <x v="7"/>
    <x v="1"/>
    <s v="No"/>
    <s v="Y"/>
    <n v="2"/>
    <n v="-2"/>
    <n v="0"/>
    <n v="47"/>
    <n v="0"/>
    <m/>
    <n v="0"/>
    <n v="1"/>
    <n v="1482"/>
    <n v="5"/>
    <x v="4"/>
    <n v="1"/>
    <n v="4"/>
    <n v="42"/>
    <n v="3"/>
    <n v="5"/>
    <n v="2"/>
    <n v="18300"/>
    <n v="16375"/>
    <n v="4"/>
    <n v="11"/>
    <n v="3"/>
    <n v="2"/>
    <n v="80"/>
    <n v="1"/>
    <n v="21"/>
    <n v="3"/>
    <n v="3"/>
    <n v="2"/>
    <n v="1"/>
    <n v="1"/>
  </r>
  <r>
    <s v="No"/>
    <s v="Travel_Frequently"/>
    <x v="0"/>
    <s v="Current Employees"/>
    <x v="1"/>
    <x v="0"/>
    <s v="STAFF-448"/>
    <n v="448"/>
    <x v="0"/>
    <x v="2"/>
    <x v="2"/>
    <s v="No"/>
    <s v="Y"/>
    <n v="3"/>
    <n v="-2"/>
    <n v="0"/>
    <n v="43"/>
    <n v="0"/>
    <m/>
    <n v="0"/>
    <n v="1"/>
    <n v="559"/>
    <n v="10"/>
    <x v="2"/>
    <n v="1"/>
    <n v="3"/>
    <n v="82"/>
    <n v="2"/>
    <n v="2"/>
    <n v="2"/>
    <n v="5257"/>
    <n v="6227"/>
    <n v="1"/>
    <n v="11"/>
    <n v="3"/>
    <n v="2"/>
    <n v="80"/>
    <n v="1"/>
    <n v="9"/>
    <n v="4"/>
    <n v="9"/>
    <n v="7"/>
    <n v="0"/>
    <n v="0"/>
  </r>
  <r>
    <s v="No"/>
    <s v="Non-Travel"/>
    <x v="2"/>
    <s v="Current Employees"/>
    <x v="0"/>
    <x v="3"/>
    <s v="STAFF-449"/>
    <n v="449"/>
    <x v="1"/>
    <x v="0"/>
    <x v="1"/>
    <s v="Yes"/>
    <s v="Y"/>
    <n v="0"/>
    <n v="-2"/>
    <n v="0"/>
    <n v="27"/>
    <n v="0"/>
    <m/>
    <n v="0"/>
    <n v="1"/>
    <n v="210"/>
    <n v="1"/>
    <x v="1"/>
    <n v="1"/>
    <n v="3"/>
    <n v="73"/>
    <n v="3"/>
    <n v="2"/>
    <n v="1"/>
    <n v="6349"/>
    <n v="22107"/>
    <n v="0"/>
    <n v="13"/>
    <n v="3"/>
    <n v="4"/>
    <n v="80"/>
    <n v="1"/>
    <n v="6"/>
    <n v="3"/>
    <n v="5"/>
    <n v="4"/>
    <n v="1"/>
    <n v="4"/>
  </r>
  <r>
    <s v="No"/>
    <s v="Travel_Frequently"/>
    <x v="1"/>
    <s v="Current Employees"/>
    <x v="1"/>
    <x v="0"/>
    <s v="STAFF-450"/>
    <n v="450"/>
    <x v="0"/>
    <x v="1"/>
    <x v="0"/>
    <s v="No"/>
    <s v="Y"/>
    <n v="4"/>
    <n v="-2"/>
    <n v="0"/>
    <n v="54"/>
    <n v="0"/>
    <m/>
    <n v="0"/>
    <n v="1"/>
    <n v="928"/>
    <n v="20"/>
    <x v="2"/>
    <n v="1"/>
    <n v="4"/>
    <n v="31"/>
    <n v="3"/>
    <n v="2"/>
    <n v="2"/>
    <n v="4869"/>
    <n v="16885"/>
    <n v="3"/>
    <n v="12"/>
    <n v="3"/>
    <n v="4"/>
    <n v="80"/>
    <n v="0"/>
    <n v="20"/>
    <n v="2"/>
    <n v="4"/>
    <n v="3"/>
    <n v="0"/>
    <n v="3"/>
  </r>
  <r>
    <s v="No"/>
    <s v="Travel_Rarely"/>
    <x v="0"/>
    <s v="Current Employees"/>
    <x v="1"/>
    <x v="0"/>
    <s v="STAFF-451"/>
    <n v="451"/>
    <x v="0"/>
    <x v="4"/>
    <x v="1"/>
    <s v="No"/>
    <s v="Y"/>
    <n v="1"/>
    <n v="-2"/>
    <n v="0"/>
    <n v="43"/>
    <n v="0"/>
    <m/>
    <n v="0"/>
    <n v="1"/>
    <n v="1001"/>
    <n v="7"/>
    <x v="3"/>
    <n v="1"/>
    <n v="3"/>
    <n v="43"/>
    <n v="3"/>
    <n v="3"/>
    <n v="2"/>
    <n v="9985"/>
    <n v="9262"/>
    <n v="8"/>
    <n v="16"/>
    <n v="3"/>
    <n v="1"/>
    <n v="80"/>
    <n v="1"/>
    <n v="10"/>
    <n v="2"/>
    <n v="1"/>
    <n v="0"/>
    <n v="0"/>
    <n v="0"/>
  </r>
  <r>
    <s v="No"/>
    <s v="Travel_Rarely"/>
    <x v="1"/>
    <s v="Current Employees"/>
    <x v="1"/>
    <x v="1"/>
    <s v="STAFF-452"/>
    <n v="452"/>
    <x v="1"/>
    <x v="1"/>
    <x v="1"/>
    <s v="No"/>
    <s v="Y"/>
    <n v="3"/>
    <n v="-2"/>
    <n v="0"/>
    <n v="45"/>
    <n v="0"/>
    <m/>
    <n v="0"/>
    <n v="1"/>
    <n v="549"/>
    <n v="8"/>
    <x v="2"/>
    <n v="1"/>
    <n v="4"/>
    <n v="75"/>
    <n v="3"/>
    <n v="2"/>
    <n v="4"/>
    <n v="3697"/>
    <n v="9278"/>
    <n v="9"/>
    <n v="14"/>
    <n v="3"/>
    <n v="1"/>
    <n v="80"/>
    <n v="2"/>
    <n v="12"/>
    <n v="3"/>
    <n v="10"/>
    <n v="9"/>
    <n v="9"/>
    <n v="8"/>
  </r>
  <r>
    <s v="No"/>
    <s v="Travel_Rarely"/>
    <x v="0"/>
    <s v="Current Employees"/>
    <x v="0"/>
    <x v="2"/>
    <s v="STAFF-453"/>
    <n v="453"/>
    <x v="1"/>
    <x v="0"/>
    <x v="1"/>
    <s v="Yes"/>
    <s v="Y"/>
    <n v="2"/>
    <n v="-2"/>
    <n v="0"/>
    <n v="40"/>
    <n v="0"/>
    <m/>
    <n v="0"/>
    <n v="1"/>
    <n v="1124"/>
    <n v="1"/>
    <x v="0"/>
    <n v="1"/>
    <n v="2"/>
    <n v="57"/>
    <n v="1"/>
    <n v="2"/>
    <n v="4"/>
    <n v="7457"/>
    <n v="13273"/>
    <n v="2"/>
    <n v="22"/>
    <n v="4"/>
    <n v="3"/>
    <n v="80"/>
    <n v="3"/>
    <n v="6"/>
    <n v="2"/>
    <n v="4"/>
    <n v="3"/>
    <n v="0"/>
    <n v="2"/>
  </r>
  <r>
    <s v="Yes"/>
    <s v="Travel_Rarely"/>
    <x v="2"/>
    <s v="Ex-Employees"/>
    <x v="1"/>
    <x v="1"/>
    <s v="STAFF-454"/>
    <n v="454"/>
    <x v="1"/>
    <x v="2"/>
    <x v="1"/>
    <s v="Yes"/>
    <s v="Y"/>
    <n v="4"/>
    <n v="-2"/>
    <n v="0"/>
    <n v="29"/>
    <n v="1"/>
    <n v="1"/>
    <n v="1"/>
    <n v="0"/>
    <n v="318"/>
    <n v="8"/>
    <x v="2"/>
    <n v="1"/>
    <n v="2"/>
    <n v="77"/>
    <n v="1"/>
    <n v="1"/>
    <n v="3"/>
    <n v="2119"/>
    <n v="4759"/>
    <n v="1"/>
    <n v="11"/>
    <n v="3"/>
    <n v="4"/>
    <n v="80"/>
    <n v="0"/>
    <n v="7"/>
    <n v="2"/>
    <n v="7"/>
    <n v="7"/>
    <n v="0"/>
    <n v="7"/>
  </r>
  <r>
    <s v="No"/>
    <s v="Travel_Rarely"/>
    <x v="2"/>
    <s v="Current Employees"/>
    <x v="1"/>
    <x v="1"/>
    <s v="STAFF-455"/>
    <n v="455"/>
    <x v="1"/>
    <x v="2"/>
    <x v="0"/>
    <s v="No"/>
    <s v="Y"/>
    <n v="2"/>
    <n v="-2"/>
    <n v="0"/>
    <n v="29"/>
    <n v="0"/>
    <m/>
    <n v="0"/>
    <n v="1"/>
    <n v="738"/>
    <n v="9"/>
    <x v="4"/>
    <n v="1"/>
    <n v="2"/>
    <n v="30"/>
    <n v="2"/>
    <n v="1"/>
    <n v="4"/>
    <n v="3983"/>
    <n v="7621"/>
    <n v="0"/>
    <n v="17"/>
    <n v="3"/>
    <n v="3"/>
    <n v="80"/>
    <n v="0"/>
    <n v="4"/>
    <n v="3"/>
    <n v="3"/>
    <n v="2"/>
    <n v="2"/>
    <n v="2"/>
  </r>
  <r>
    <s v="No"/>
    <s v="Travel_Rarely"/>
    <x v="2"/>
    <s v="Current Employees"/>
    <x v="0"/>
    <x v="3"/>
    <s v="STAFF-456"/>
    <n v="456"/>
    <x v="0"/>
    <x v="0"/>
    <x v="2"/>
    <s v="No"/>
    <s v="Y"/>
    <n v="2"/>
    <n v="-2"/>
    <n v="0"/>
    <n v="30"/>
    <n v="0"/>
    <m/>
    <n v="0"/>
    <n v="1"/>
    <n v="570"/>
    <n v="5"/>
    <x v="3"/>
    <n v="1"/>
    <n v="4"/>
    <n v="30"/>
    <n v="2"/>
    <n v="2"/>
    <n v="1"/>
    <n v="6118"/>
    <n v="5431"/>
    <n v="1"/>
    <n v="13"/>
    <n v="3"/>
    <n v="3"/>
    <n v="80"/>
    <n v="3"/>
    <n v="10"/>
    <n v="3"/>
    <n v="10"/>
    <n v="9"/>
    <n v="1"/>
    <n v="2"/>
  </r>
  <r>
    <s v="No"/>
    <s v="Travel_Rarely"/>
    <x v="2"/>
    <s v="Current Employees"/>
    <x v="0"/>
    <x v="3"/>
    <s v="STAFF-458"/>
    <n v="458"/>
    <x v="0"/>
    <x v="0"/>
    <x v="1"/>
    <s v="No"/>
    <s v="Y"/>
    <n v="3"/>
    <n v="-2"/>
    <n v="0"/>
    <n v="27"/>
    <n v="0"/>
    <m/>
    <n v="0"/>
    <n v="1"/>
    <n v="1130"/>
    <n v="8"/>
    <x v="2"/>
    <n v="1"/>
    <n v="2"/>
    <n v="56"/>
    <n v="3"/>
    <n v="2"/>
    <n v="1"/>
    <n v="6214"/>
    <n v="3415"/>
    <n v="1"/>
    <n v="18"/>
    <n v="3"/>
    <n v="1"/>
    <n v="80"/>
    <n v="1"/>
    <n v="8"/>
    <n v="3"/>
    <n v="8"/>
    <n v="7"/>
    <n v="0"/>
    <n v="7"/>
  </r>
  <r>
    <s v="No"/>
    <s v="Travel_Rarely"/>
    <x v="0"/>
    <s v="Current Employees"/>
    <x v="1"/>
    <x v="2"/>
    <s v="STAFF-460"/>
    <n v="460"/>
    <x v="1"/>
    <x v="3"/>
    <x v="2"/>
    <s v="No"/>
    <s v="Y"/>
    <n v="2"/>
    <n v="-2"/>
    <n v="0"/>
    <n v="37"/>
    <n v="0"/>
    <m/>
    <n v="0"/>
    <n v="1"/>
    <n v="1192"/>
    <n v="5"/>
    <x v="0"/>
    <n v="1"/>
    <n v="4"/>
    <n v="61"/>
    <n v="3"/>
    <n v="2"/>
    <n v="4"/>
    <n v="6347"/>
    <n v="23177"/>
    <n v="7"/>
    <n v="16"/>
    <n v="3"/>
    <n v="3"/>
    <n v="80"/>
    <n v="2"/>
    <n v="8"/>
    <n v="2"/>
    <n v="6"/>
    <n v="2"/>
    <n v="0"/>
    <n v="4"/>
  </r>
  <r>
    <s v="No"/>
    <s v="Travel_Rarely"/>
    <x v="0"/>
    <s v="Current Employees"/>
    <x v="1"/>
    <x v="0"/>
    <s v="STAFF-461"/>
    <n v="461"/>
    <x v="1"/>
    <x v="7"/>
    <x v="2"/>
    <s v="Yes"/>
    <s v="Y"/>
    <n v="3"/>
    <n v="-2"/>
    <n v="0"/>
    <n v="38"/>
    <n v="0"/>
    <m/>
    <n v="0"/>
    <n v="1"/>
    <n v="343"/>
    <n v="15"/>
    <x v="0"/>
    <n v="1"/>
    <n v="3"/>
    <n v="92"/>
    <n v="2"/>
    <n v="3"/>
    <n v="2"/>
    <n v="11510"/>
    <n v="15682"/>
    <n v="0"/>
    <n v="14"/>
    <n v="3"/>
    <n v="2"/>
    <n v="80"/>
    <n v="1"/>
    <n v="12"/>
    <n v="3"/>
    <n v="11"/>
    <n v="10"/>
    <n v="2"/>
    <n v="9"/>
  </r>
  <r>
    <s v="No"/>
    <s v="Travel_Rarely"/>
    <x v="2"/>
    <s v="Current Employees"/>
    <x v="1"/>
    <x v="2"/>
    <s v="STAFF-462"/>
    <n v="462"/>
    <x v="0"/>
    <x v="3"/>
    <x v="0"/>
    <s v="Yes"/>
    <s v="Y"/>
    <n v="2"/>
    <n v="-2"/>
    <n v="0"/>
    <n v="31"/>
    <n v="0"/>
    <m/>
    <n v="0"/>
    <n v="1"/>
    <n v="1232"/>
    <n v="7"/>
    <x v="2"/>
    <n v="1"/>
    <n v="3"/>
    <n v="39"/>
    <n v="3"/>
    <n v="3"/>
    <n v="4"/>
    <n v="7143"/>
    <n v="25713"/>
    <n v="1"/>
    <n v="14"/>
    <n v="3"/>
    <n v="3"/>
    <n v="80"/>
    <n v="0"/>
    <n v="11"/>
    <n v="2"/>
    <n v="11"/>
    <n v="9"/>
    <n v="4"/>
    <n v="10"/>
  </r>
  <r>
    <s v="No"/>
    <s v="Travel_Rarely"/>
    <x v="2"/>
    <s v="Current Employees"/>
    <x v="0"/>
    <x v="3"/>
    <s v="STAFF-463"/>
    <n v="463"/>
    <x v="0"/>
    <x v="0"/>
    <x v="2"/>
    <s v="Yes"/>
    <s v="Y"/>
    <n v="2"/>
    <n v="-2"/>
    <n v="0"/>
    <n v="29"/>
    <n v="0"/>
    <m/>
    <n v="0"/>
    <n v="1"/>
    <n v="144"/>
    <n v="10"/>
    <x v="1"/>
    <n v="1"/>
    <n v="4"/>
    <n v="39"/>
    <n v="2"/>
    <n v="2"/>
    <n v="1"/>
    <n v="8268"/>
    <n v="11866"/>
    <n v="1"/>
    <n v="14"/>
    <n v="3"/>
    <n v="1"/>
    <n v="80"/>
    <n v="2"/>
    <n v="7"/>
    <n v="3"/>
    <n v="7"/>
    <n v="7"/>
    <n v="1"/>
    <n v="7"/>
  </r>
  <r>
    <s v="No"/>
    <s v="Travel_Rarely"/>
    <x v="0"/>
    <s v="Current Employees"/>
    <x v="1"/>
    <x v="4"/>
    <s v="STAFF-464"/>
    <n v="464"/>
    <x v="1"/>
    <x v="3"/>
    <x v="0"/>
    <s v="No"/>
    <s v="Y"/>
    <n v="5"/>
    <n v="-2"/>
    <n v="0"/>
    <n v="35"/>
    <n v="0"/>
    <m/>
    <n v="0"/>
    <n v="1"/>
    <n v="1296"/>
    <n v="5"/>
    <x v="2"/>
    <n v="1"/>
    <n v="4"/>
    <n v="62"/>
    <n v="3"/>
    <n v="3"/>
    <n v="4"/>
    <n v="8095"/>
    <n v="18264"/>
    <n v="0"/>
    <n v="13"/>
    <n v="3"/>
    <n v="4"/>
    <n v="80"/>
    <n v="0"/>
    <n v="17"/>
    <n v="3"/>
    <n v="16"/>
    <n v="6"/>
    <n v="0"/>
    <n v="13"/>
  </r>
  <r>
    <s v="No"/>
    <s v="Travel_Rarely"/>
    <x v="4"/>
    <s v="Current Employees"/>
    <x v="1"/>
    <x v="0"/>
    <s v="STAFF-465"/>
    <n v="465"/>
    <x v="1"/>
    <x v="1"/>
    <x v="2"/>
    <s v="No"/>
    <s v="Y"/>
    <n v="2"/>
    <n v="-2"/>
    <n v="0"/>
    <n v="23"/>
    <n v="0"/>
    <m/>
    <n v="0"/>
    <n v="1"/>
    <n v="1309"/>
    <n v="26"/>
    <x v="1"/>
    <n v="1"/>
    <n v="3"/>
    <n v="83"/>
    <n v="3"/>
    <n v="1"/>
    <n v="2"/>
    <n v="2904"/>
    <n v="16092"/>
    <n v="1"/>
    <n v="12"/>
    <n v="3"/>
    <n v="3"/>
    <n v="80"/>
    <n v="2"/>
    <n v="4"/>
    <n v="2"/>
    <n v="4"/>
    <n v="2"/>
    <n v="0"/>
    <n v="2"/>
  </r>
  <r>
    <s v="No"/>
    <s v="Travel_Rarely"/>
    <x v="0"/>
    <s v="Current Employees"/>
    <x v="1"/>
    <x v="2"/>
    <s v="STAFF-466"/>
    <n v="466"/>
    <x v="1"/>
    <x v="3"/>
    <x v="0"/>
    <s v="Yes"/>
    <s v="Y"/>
    <n v="3"/>
    <n v="-2"/>
    <n v="0"/>
    <n v="41"/>
    <n v="0"/>
    <m/>
    <n v="0"/>
    <n v="1"/>
    <n v="483"/>
    <n v="6"/>
    <x v="3"/>
    <n v="1"/>
    <n v="4"/>
    <n v="95"/>
    <n v="2"/>
    <n v="2"/>
    <n v="3"/>
    <n v="6032"/>
    <n v="10110"/>
    <n v="6"/>
    <n v="15"/>
    <n v="3"/>
    <n v="4"/>
    <n v="80"/>
    <n v="0"/>
    <n v="8"/>
    <n v="3"/>
    <n v="5"/>
    <n v="4"/>
    <n v="1"/>
    <n v="2"/>
  </r>
  <r>
    <s v="No"/>
    <s v="Travel_Frequently"/>
    <x v="1"/>
    <s v="Current Employees"/>
    <x v="0"/>
    <x v="2"/>
    <s v="STAFF-467"/>
    <n v="467"/>
    <x v="1"/>
    <x v="6"/>
    <x v="0"/>
    <s v="No"/>
    <s v="Y"/>
    <n v="3"/>
    <n v="-2"/>
    <n v="0"/>
    <n v="47"/>
    <n v="0"/>
    <m/>
    <n v="0"/>
    <n v="1"/>
    <n v="1309"/>
    <n v="4"/>
    <x v="1"/>
    <n v="1"/>
    <n v="2"/>
    <n v="99"/>
    <n v="3"/>
    <n v="2"/>
    <n v="3"/>
    <n v="2976"/>
    <n v="25751"/>
    <n v="3"/>
    <n v="19"/>
    <n v="3"/>
    <n v="1"/>
    <n v="80"/>
    <n v="0"/>
    <n v="5"/>
    <n v="3"/>
    <n v="0"/>
    <n v="0"/>
    <n v="0"/>
    <n v="0"/>
  </r>
  <r>
    <s v="No"/>
    <s v="Travel_Rarely"/>
    <x v="0"/>
    <s v="Current Employees"/>
    <x v="1"/>
    <x v="0"/>
    <s v="STAFF-468"/>
    <n v="468"/>
    <x v="0"/>
    <x v="7"/>
    <x v="0"/>
    <s v="No"/>
    <s v="Y"/>
    <n v="2"/>
    <n v="-2"/>
    <n v="0"/>
    <n v="42"/>
    <n v="0"/>
    <m/>
    <n v="0"/>
    <n v="1"/>
    <n v="810"/>
    <n v="23"/>
    <x v="4"/>
    <n v="1"/>
    <n v="1"/>
    <n v="44"/>
    <n v="3"/>
    <n v="4"/>
    <n v="2"/>
    <n v="15992"/>
    <n v="15901"/>
    <n v="2"/>
    <n v="14"/>
    <n v="3"/>
    <n v="2"/>
    <n v="80"/>
    <n v="0"/>
    <n v="16"/>
    <n v="3"/>
    <n v="1"/>
    <n v="0"/>
    <n v="0"/>
    <n v="0"/>
  </r>
  <r>
    <s v="No"/>
    <s v="Non-Travel"/>
    <x v="2"/>
    <s v="Current Employees"/>
    <x v="0"/>
    <x v="0"/>
    <s v="STAFF-469"/>
    <n v="469"/>
    <x v="1"/>
    <x v="0"/>
    <x v="1"/>
    <s v="No"/>
    <s v="Y"/>
    <n v="3"/>
    <n v="-2"/>
    <n v="0"/>
    <n v="29"/>
    <n v="0"/>
    <m/>
    <n v="0"/>
    <n v="1"/>
    <n v="746"/>
    <n v="2"/>
    <x v="3"/>
    <n v="1"/>
    <n v="4"/>
    <n v="61"/>
    <n v="3"/>
    <n v="2"/>
    <n v="2"/>
    <n v="4649"/>
    <n v="16928"/>
    <n v="1"/>
    <n v="14"/>
    <n v="3"/>
    <n v="1"/>
    <n v="80"/>
    <n v="1"/>
    <n v="4"/>
    <n v="2"/>
    <n v="4"/>
    <n v="3"/>
    <n v="0"/>
    <n v="2"/>
  </r>
  <r>
    <s v="No"/>
    <s v="Travel_Rarely"/>
    <x v="0"/>
    <s v="Current Employees"/>
    <x v="2"/>
    <x v="4"/>
    <s v="STAFF-470"/>
    <n v="470"/>
    <x v="1"/>
    <x v="8"/>
    <x v="2"/>
    <s v="Yes"/>
    <s v="Y"/>
    <n v="5"/>
    <n v="-2"/>
    <n v="0"/>
    <n v="42"/>
    <n v="0"/>
    <m/>
    <n v="0"/>
    <n v="1"/>
    <n v="544"/>
    <n v="2"/>
    <x v="1"/>
    <n v="1"/>
    <n v="4"/>
    <n v="52"/>
    <n v="3"/>
    <n v="1"/>
    <n v="4"/>
    <n v="2696"/>
    <n v="24017"/>
    <n v="0"/>
    <n v="11"/>
    <n v="3"/>
    <n v="3"/>
    <n v="80"/>
    <n v="1"/>
    <n v="4"/>
    <n v="3"/>
    <n v="3"/>
    <n v="2"/>
    <n v="1"/>
    <n v="0"/>
  </r>
  <r>
    <s v="No"/>
    <s v="Travel_Rarely"/>
    <x v="2"/>
    <s v="Current Employees"/>
    <x v="1"/>
    <x v="2"/>
    <s v="STAFF-471"/>
    <n v="471"/>
    <x v="0"/>
    <x v="2"/>
    <x v="1"/>
    <s v="No"/>
    <s v="Y"/>
    <n v="4"/>
    <n v="-2"/>
    <n v="0"/>
    <n v="32"/>
    <n v="0"/>
    <m/>
    <n v="0"/>
    <n v="1"/>
    <n v="1062"/>
    <n v="2"/>
    <x v="3"/>
    <n v="1"/>
    <n v="3"/>
    <n v="75"/>
    <n v="3"/>
    <n v="1"/>
    <n v="3"/>
    <n v="2370"/>
    <n v="3956"/>
    <n v="1"/>
    <n v="13"/>
    <n v="3"/>
    <n v="3"/>
    <n v="80"/>
    <n v="1"/>
    <n v="8"/>
    <n v="3"/>
    <n v="8"/>
    <n v="0"/>
    <n v="0"/>
    <n v="7"/>
  </r>
  <r>
    <s v="No"/>
    <s v="Travel_Rarely"/>
    <x v="1"/>
    <s v="Current Employees"/>
    <x v="0"/>
    <x v="2"/>
    <s v="STAFF-473"/>
    <n v="473"/>
    <x v="0"/>
    <x v="5"/>
    <x v="1"/>
    <s v="No"/>
    <s v="Y"/>
    <n v="3"/>
    <n v="-2"/>
    <n v="0"/>
    <n v="48"/>
    <n v="0"/>
    <m/>
    <n v="0"/>
    <n v="1"/>
    <n v="530"/>
    <n v="29"/>
    <x v="1"/>
    <n v="1"/>
    <n v="1"/>
    <n v="91"/>
    <n v="3"/>
    <n v="3"/>
    <n v="3"/>
    <n v="12504"/>
    <n v="23978"/>
    <n v="3"/>
    <n v="21"/>
    <n v="4"/>
    <n v="2"/>
    <n v="80"/>
    <n v="1"/>
    <n v="15"/>
    <n v="1"/>
    <n v="0"/>
    <n v="0"/>
    <n v="0"/>
    <n v="0"/>
  </r>
  <r>
    <s v="No"/>
    <s v="Travel_Rarely"/>
    <x v="0"/>
    <s v="Current Employees"/>
    <x v="1"/>
    <x v="2"/>
    <s v="STAFF-474"/>
    <n v="474"/>
    <x v="1"/>
    <x v="1"/>
    <x v="2"/>
    <s v="Yes"/>
    <s v="Y"/>
    <n v="2"/>
    <n v="-2"/>
    <n v="0"/>
    <n v="37"/>
    <n v="0"/>
    <m/>
    <n v="0"/>
    <n v="1"/>
    <n v="1319"/>
    <n v="6"/>
    <x v="3"/>
    <n v="1"/>
    <n v="3"/>
    <n v="51"/>
    <n v="4"/>
    <n v="2"/>
    <n v="3"/>
    <n v="5974"/>
    <n v="17001"/>
    <n v="4"/>
    <n v="13"/>
    <n v="3"/>
    <n v="1"/>
    <n v="80"/>
    <n v="2"/>
    <n v="13"/>
    <n v="3"/>
    <n v="7"/>
    <n v="7"/>
    <n v="6"/>
    <n v="7"/>
  </r>
  <r>
    <s v="No"/>
    <s v="Non-Travel"/>
    <x v="2"/>
    <s v="Current Employees"/>
    <x v="0"/>
    <x v="4"/>
    <s v="STAFF-475"/>
    <n v="475"/>
    <x v="0"/>
    <x v="0"/>
    <x v="1"/>
    <s v="Yes"/>
    <s v="Y"/>
    <n v="2"/>
    <n v="-2"/>
    <n v="0"/>
    <n v="30"/>
    <n v="0"/>
    <m/>
    <n v="0"/>
    <n v="1"/>
    <n v="641"/>
    <n v="25"/>
    <x v="0"/>
    <n v="1"/>
    <n v="4"/>
    <n v="85"/>
    <n v="3"/>
    <n v="2"/>
    <n v="4"/>
    <n v="4736"/>
    <n v="6069"/>
    <n v="7"/>
    <n v="12"/>
    <n v="3"/>
    <n v="2"/>
    <n v="80"/>
    <n v="1"/>
    <n v="4"/>
    <n v="4"/>
    <n v="2"/>
    <n v="2"/>
    <n v="2"/>
    <n v="2"/>
  </r>
  <r>
    <s v="No"/>
    <s v="Travel_Rarely"/>
    <x v="2"/>
    <s v="Current Employees"/>
    <x v="0"/>
    <x v="0"/>
    <s v="STAFF-476"/>
    <n v="476"/>
    <x v="1"/>
    <x v="0"/>
    <x v="1"/>
    <s v="No"/>
    <s v="Y"/>
    <n v="3"/>
    <n v="-2"/>
    <n v="0"/>
    <n v="26"/>
    <n v="0"/>
    <m/>
    <n v="0"/>
    <n v="1"/>
    <n v="933"/>
    <n v="1"/>
    <x v="3"/>
    <n v="1"/>
    <n v="3"/>
    <n v="57"/>
    <n v="3"/>
    <n v="2"/>
    <n v="2"/>
    <n v="5296"/>
    <n v="20156"/>
    <n v="1"/>
    <n v="17"/>
    <n v="3"/>
    <n v="2"/>
    <n v="80"/>
    <n v="1"/>
    <n v="8"/>
    <n v="3"/>
    <n v="8"/>
    <n v="7"/>
    <n v="7"/>
    <n v="7"/>
  </r>
  <r>
    <s v="No"/>
    <s v="Travel_Rarely"/>
    <x v="0"/>
    <s v="Current Employees"/>
    <x v="1"/>
    <x v="1"/>
    <s v="STAFF-477"/>
    <n v="477"/>
    <x v="1"/>
    <x v="4"/>
    <x v="0"/>
    <s v="No"/>
    <s v="Y"/>
    <n v="6"/>
    <n v="-2"/>
    <n v="0"/>
    <n v="42"/>
    <n v="0"/>
    <m/>
    <n v="0"/>
    <n v="1"/>
    <n v="1332"/>
    <n v="2"/>
    <x v="2"/>
    <n v="1"/>
    <n v="1"/>
    <n v="98"/>
    <n v="2"/>
    <n v="2"/>
    <n v="4"/>
    <n v="6781"/>
    <n v="17078"/>
    <n v="3"/>
    <n v="23"/>
    <n v="4"/>
    <n v="2"/>
    <n v="80"/>
    <n v="0"/>
    <n v="14"/>
    <n v="3"/>
    <n v="1"/>
    <n v="0"/>
    <n v="0"/>
    <n v="0"/>
  </r>
  <r>
    <s v="Yes"/>
    <s v="Travel_Frequently"/>
    <x v="4"/>
    <s v="Ex-Employees"/>
    <x v="0"/>
    <x v="4"/>
    <s v="STAFF-478"/>
    <n v="478"/>
    <x v="0"/>
    <x v="6"/>
    <x v="0"/>
    <s v="Yes"/>
    <s v="Y"/>
    <n v="3"/>
    <n v="-2"/>
    <n v="0"/>
    <n v="21"/>
    <n v="1"/>
    <n v="1"/>
    <n v="1"/>
    <n v="0"/>
    <n v="756"/>
    <n v="1"/>
    <x v="1"/>
    <n v="1"/>
    <n v="4"/>
    <n v="99"/>
    <n v="2"/>
    <n v="1"/>
    <n v="4"/>
    <n v="2174"/>
    <n v="9150"/>
    <n v="1"/>
    <n v="11"/>
    <n v="3"/>
    <n v="3"/>
    <n v="80"/>
    <n v="0"/>
    <n v="3"/>
    <n v="3"/>
    <n v="3"/>
    <n v="2"/>
    <n v="1"/>
    <n v="2"/>
  </r>
  <r>
    <s v="No"/>
    <s v="Non-Travel"/>
    <x v="0"/>
    <s v="Current Employees"/>
    <x v="0"/>
    <x v="2"/>
    <s v="STAFF-479"/>
    <n v="479"/>
    <x v="0"/>
    <x v="0"/>
    <x v="0"/>
    <s v="No"/>
    <s v="Y"/>
    <n v="6"/>
    <n v="-2"/>
    <n v="0"/>
    <n v="36"/>
    <n v="0"/>
    <m/>
    <n v="0"/>
    <n v="1"/>
    <n v="845"/>
    <n v="1"/>
    <x v="4"/>
    <n v="1"/>
    <n v="4"/>
    <n v="45"/>
    <n v="3"/>
    <n v="2"/>
    <n v="4"/>
    <n v="6653"/>
    <n v="15276"/>
    <n v="4"/>
    <n v="15"/>
    <n v="3"/>
    <n v="2"/>
    <n v="80"/>
    <n v="0"/>
    <n v="7"/>
    <n v="3"/>
    <n v="1"/>
    <n v="0"/>
    <n v="0"/>
    <n v="0"/>
  </r>
  <r>
    <s v="No"/>
    <s v="Travel_Frequently"/>
    <x v="0"/>
    <s v="Current Employees"/>
    <x v="0"/>
    <x v="2"/>
    <s v="STAFF-481"/>
    <n v="481"/>
    <x v="1"/>
    <x v="0"/>
    <x v="1"/>
    <s v="No"/>
    <s v="Y"/>
    <n v="2"/>
    <n v="-2"/>
    <n v="0"/>
    <n v="36"/>
    <n v="0"/>
    <m/>
    <n v="0"/>
    <n v="1"/>
    <n v="541"/>
    <n v="3"/>
    <x v="2"/>
    <n v="1"/>
    <n v="1"/>
    <n v="48"/>
    <n v="2"/>
    <n v="3"/>
    <n v="4"/>
    <n v="9699"/>
    <n v="7246"/>
    <n v="4"/>
    <n v="11"/>
    <n v="3"/>
    <n v="1"/>
    <n v="80"/>
    <n v="1"/>
    <n v="16"/>
    <n v="3"/>
    <n v="13"/>
    <n v="9"/>
    <n v="1"/>
    <n v="12"/>
  </r>
  <r>
    <s v="No"/>
    <s v="Travel_Rarely"/>
    <x v="3"/>
    <s v="Current Employees"/>
    <x v="1"/>
    <x v="2"/>
    <s v="STAFF-482"/>
    <n v="482"/>
    <x v="1"/>
    <x v="4"/>
    <x v="1"/>
    <s v="No"/>
    <s v="Y"/>
    <n v="2"/>
    <n v="-2"/>
    <n v="0"/>
    <n v="57"/>
    <n v="0"/>
    <m/>
    <n v="0"/>
    <n v="1"/>
    <n v="593"/>
    <n v="1"/>
    <x v="2"/>
    <n v="1"/>
    <n v="4"/>
    <n v="88"/>
    <n v="3"/>
    <n v="2"/>
    <n v="3"/>
    <n v="6755"/>
    <n v="2967"/>
    <n v="2"/>
    <n v="11"/>
    <n v="3"/>
    <n v="3"/>
    <n v="80"/>
    <n v="0"/>
    <n v="15"/>
    <n v="3"/>
    <n v="3"/>
    <n v="2"/>
    <n v="1"/>
    <n v="2"/>
  </r>
  <r>
    <s v="No"/>
    <s v="Travel_Rarely"/>
    <x v="0"/>
    <s v="Current Employees"/>
    <x v="1"/>
    <x v="0"/>
    <s v="STAFF-483"/>
    <n v="483"/>
    <x v="0"/>
    <x v="2"/>
    <x v="1"/>
    <s v="Yes"/>
    <s v="Y"/>
    <n v="3"/>
    <n v="-2"/>
    <n v="0"/>
    <n v="40"/>
    <n v="0"/>
    <m/>
    <n v="0"/>
    <n v="1"/>
    <n v="1171"/>
    <n v="10"/>
    <x v="2"/>
    <n v="1"/>
    <n v="4"/>
    <n v="46"/>
    <n v="4"/>
    <n v="1"/>
    <n v="2"/>
    <n v="2213"/>
    <n v="22495"/>
    <n v="3"/>
    <n v="13"/>
    <n v="3"/>
    <n v="3"/>
    <n v="80"/>
    <n v="1"/>
    <n v="10"/>
    <n v="3"/>
    <n v="7"/>
    <n v="7"/>
    <n v="1"/>
    <n v="7"/>
  </r>
  <r>
    <s v="No"/>
    <s v="Non-Travel"/>
    <x v="4"/>
    <s v="Current Employees"/>
    <x v="0"/>
    <x v="2"/>
    <s v="STAFF-484"/>
    <n v="484"/>
    <x v="1"/>
    <x v="6"/>
    <x v="0"/>
    <s v="No"/>
    <s v="Y"/>
    <n v="3"/>
    <n v="-2"/>
    <n v="0"/>
    <n v="21"/>
    <n v="0"/>
    <m/>
    <n v="0"/>
    <n v="1"/>
    <n v="895"/>
    <n v="9"/>
    <x v="0"/>
    <n v="1"/>
    <n v="1"/>
    <n v="39"/>
    <n v="3"/>
    <n v="1"/>
    <n v="4"/>
    <n v="2610"/>
    <n v="2851"/>
    <n v="1"/>
    <n v="24"/>
    <n v="4"/>
    <n v="3"/>
    <n v="80"/>
    <n v="0"/>
    <n v="3"/>
    <n v="2"/>
    <n v="3"/>
    <n v="2"/>
    <n v="2"/>
    <n v="2"/>
  </r>
  <r>
    <s v="Yes"/>
    <s v="Travel_Rarely"/>
    <x v="2"/>
    <s v="Ex-Employees"/>
    <x v="0"/>
    <x v="3"/>
    <s v="STAFF-485"/>
    <n v="485"/>
    <x v="0"/>
    <x v="6"/>
    <x v="0"/>
    <s v="Yes"/>
    <s v="Y"/>
    <n v="2"/>
    <n v="-2"/>
    <n v="0"/>
    <n v="33"/>
    <n v="1"/>
    <n v="1"/>
    <n v="1"/>
    <n v="0"/>
    <n v="350"/>
    <n v="5"/>
    <x v="3"/>
    <n v="1"/>
    <n v="4"/>
    <n v="34"/>
    <n v="3"/>
    <n v="1"/>
    <n v="1"/>
    <n v="2851"/>
    <n v="9150"/>
    <n v="1"/>
    <n v="13"/>
    <n v="3"/>
    <n v="2"/>
    <n v="80"/>
    <n v="0"/>
    <n v="1"/>
    <n v="3"/>
    <n v="1"/>
    <n v="0"/>
    <n v="0"/>
    <n v="0"/>
  </r>
  <r>
    <s v="No"/>
    <s v="Travel_Rarely"/>
    <x v="0"/>
    <s v="Current Employees"/>
    <x v="1"/>
    <x v="2"/>
    <s v="STAFF-486"/>
    <n v="486"/>
    <x v="0"/>
    <x v="2"/>
    <x v="1"/>
    <s v="No"/>
    <s v="Y"/>
    <n v="3"/>
    <n v="-2"/>
    <n v="0"/>
    <n v="37"/>
    <n v="0"/>
    <m/>
    <n v="0"/>
    <n v="1"/>
    <n v="921"/>
    <n v="10"/>
    <x v="3"/>
    <n v="1"/>
    <n v="3"/>
    <n v="98"/>
    <n v="3"/>
    <n v="1"/>
    <n v="3"/>
    <n v="3452"/>
    <n v="17663"/>
    <n v="6"/>
    <n v="20"/>
    <n v="4"/>
    <n v="2"/>
    <n v="80"/>
    <n v="1"/>
    <n v="17"/>
    <n v="3"/>
    <n v="5"/>
    <n v="4"/>
    <n v="0"/>
    <n v="3"/>
  </r>
  <r>
    <s v="No"/>
    <s v="Non-Travel"/>
    <x v="1"/>
    <s v="Current Employees"/>
    <x v="1"/>
    <x v="2"/>
    <s v="STAFF-487"/>
    <n v="487"/>
    <x v="0"/>
    <x v="3"/>
    <x v="1"/>
    <s v="No"/>
    <s v="Y"/>
    <n v="2"/>
    <n v="-2"/>
    <n v="0"/>
    <n v="46"/>
    <n v="0"/>
    <m/>
    <n v="0"/>
    <n v="1"/>
    <n v="1144"/>
    <n v="7"/>
    <x v="2"/>
    <n v="1"/>
    <n v="3"/>
    <n v="30"/>
    <n v="3"/>
    <n v="2"/>
    <n v="3"/>
    <n v="5258"/>
    <n v="16044"/>
    <n v="2"/>
    <n v="14"/>
    <n v="3"/>
    <n v="3"/>
    <n v="80"/>
    <n v="0"/>
    <n v="7"/>
    <n v="4"/>
    <n v="1"/>
    <n v="0"/>
    <n v="0"/>
    <n v="0"/>
  </r>
  <r>
    <s v="Yes"/>
    <s v="Travel_Frequently"/>
    <x v="0"/>
    <s v="Ex-Employees"/>
    <x v="0"/>
    <x v="3"/>
    <s v="STAFF-488"/>
    <n v="488"/>
    <x v="1"/>
    <x v="0"/>
    <x v="0"/>
    <s v="No"/>
    <s v="Y"/>
    <n v="5"/>
    <n v="-2"/>
    <n v="0"/>
    <n v="41"/>
    <n v="1"/>
    <n v="1"/>
    <n v="1"/>
    <n v="0"/>
    <n v="143"/>
    <n v="4"/>
    <x v="3"/>
    <n v="1"/>
    <n v="1"/>
    <n v="56"/>
    <n v="3"/>
    <n v="2"/>
    <n v="1"/>
    <n v="9355"/>
    <n v="9558"/>
    <n v="1"/>
    <n v="18"/>
    <n v="3"/>
    <n v="3"/>
    <n v="80"/>
    <n v="0"/>
    <n v="8"/>
    <n v="3"/>
    <n v="8"/>
    <n v="7"/>
    <n v="7"/>
    <n v="7"/>
  </r>
  <r>
    <s v="No"/>
    <s v="Travel_Rarely"/>
    <x v="1"/>
    <s v="Current Employees"/>
    <x v="1"/>
    <x v="4"/>
    <s v="STAFF-491"/>
    <n v="491"/>
    <x v="1"/>
    <x v="4"/>
    <x v="0"/>
    <s v="No"/>
    <s v="Y"/>
    <n v="2"/>
    <n v="-2"/>
    <n v="0"/>
    <n v="50"/>
    <n v="0"/>
    <m/>
    <n v="0"/>
    <n v="1"/>
    <n v="1046"/>
    <n v="10"/>
    <x v="3"/>
    <n v="1"/>
    <n v="4"/>
    <n v="100"/>
    <n v="2"/>
    <n v="3"/>
    <n v="4"/>
    <n v="10496"/>
    <n v="2755"/>
    <n v="6"/>
    <n v="15"/>
    <n v="3"/>
    <n v="4"/>
    <n v="80"/>
    <n v="0"/>
    <n v="20"/>
    <n v="3"/>
    <n v="4"/>
    <n v="3"/>
    <n v="1"/>
    <n v="3"/>
  </r>
  <r>
    <s v="Yes"/>
    <s v="Travel_Rarely"/>
    <x v="0"/>
    <s v="Ex-Employees"/>
    <x v="0"/>
    <x v="3"/>
    <s v="STAFF-492"/>
    <n v="492"/>
    <x v="1"/>
    <x v="0"/>
    <x v="1"/>
    <s v="Yes"/>
    <s v="Y"/>
    <n v="6"/>
    <n v="-2"/>
    <n v="0"/>
    <n v="40"/>
    <n v="1"/>
    <n v="1"/>
    <n v="1"/>
    <n v="0"/>
    <n v="575"/>
    <n v="22"/>
    <x v="0"/>
    <n v="1"/>
    <n v="3"/>
    <n v="68"/>
    <n v="2"/>
    <n v="2"/>
    <n v="1"/>
    <n v="6380"/>
    <n v="6110"/>
    <n v="2"/>
    <n v="12"/>
    <n v="3"/>
    <n v="1"/>
    <n v="80"/>
    <n v="2"/>
    <n v="8"/>
    <n v="3"/>
    <n v="6"/>
    <n v="4"/>
    <n v="1"/>
    <n v="0"/>
  </r>
  <r>
    <s v="No"/>
    <s v="Travel_Rarely"/>
    <x v="2"/>
    <s v="Current Employees"/>
    <x v="1"/>
    <x v="0"/>
    <s v="STAFF-493"/>
    <n v="493"/>
    <x v="1"/>
    <x v="1"/>
    <x v="0"/>
    <s v="Yes"/>
    <s v="Y"/>
    <n v="5"/>
    <n v="-2"/>
    <n v="0"/>
    <n v="31"/>
    <n v="0"/>
    <m/>
    <n v="0"/>
    <n v="1"/>
    <n v="408"/>
    <n v="9"/>
    <x v="2"/>
    <n v="1"/>
    <n v="3"/>
    <n v="42"/>
    <n v="2"/>
    <n v="1"/>
    <n v="2"/>
    <n v="2657"/>
    <n v="7551"/>
    <n v="0"/>
    <n v="16"/>
    <n v="3"/>
    <n v="4"/>
    <n v="80"/>
    <n v="0"/>
    <n v="3"/>
    <n v="3"/>
    <n v="2"/>
    <n v="2"/>
    <n v="2"/>
    <n v="2"/>
  </r>
  <r>
    <s v="Yes"/>
    <s v="Travel_Rarely"/>
    <x v="4"/>
    <s v="Ex-Employees"/>
    <x v="0"/>
    <x v="0"/>
    <s v="STAFF-494"/>
    <n v="494"/>
    <x v="0"/>
    <x v="6"/>
    <x v="0"/>
    <s v="No"/>
    <s v="Y"/>
    <n v="0"/>
    <n v="-2"/>
    <n v="0"/>
    <n v="21"/>
    <n v="1"/>
    <n v="1"/>
    <n v="1"/>
    <n v="0"/>
    <n v="156"/>
    <n v="12"/>
    <x v="3"/>
    <n v="1"/>
    <n v="3"/>
    <n v="90"/>
    <n v="4"/>
    <n v="1"/>
    <n v="2"/>
    <n v="2716"/>
    <n v="25422"/>
    <n v="1"/>
    <n v="15"/>
    <n v="3"/>
    <n v="4"/>
    <n v="80"/>
    <n v="0"/>
    <n v="1"/>
    <n v="3"/>
    <n v="1"/>
    <n v="0"/>
    <n v="0"/>
    <n v="0"/>
  </r>
  <r>
    <s v="No"/>
    <s v="Travel_Rarely"/>
    <x v="2"/>
    <s v="Current Employees"/>
    <x v="1"/>
    <x v="0"/>
    <s v="STAFF-495"/>
    <n v="495"/>
    <x v="1"/>
    <x v="1"/>
    <x v="0"/>
    <s v="No"/>
    <s v="Y"/>
    <n v="4"/>
    <n v="-2"/>
    <n v="0"/>
    <n v="29"/>
    <n v="0"/>
    <m/>
    <n v="0"/>
    <n v="1"/>
    <n v="1283"/>
    <n v="23"/>
    <x v="3"/>
    <n v="1"/>
    <n v="4"/>
    <n v="54"/>
    <n v="3"/>
    <n v="1"/>
    <n v="2"/>
    <n v="2201"/>
    <n v="18168"/>
    <n v="9"/>
    <n v="16"/>
    <n v="3"/>
    <n v="4"/>
    <n v="80"/>
    <n v="0"/>
    <n v="6"/>
    <n v="3"/>
    <n v="3"/>
    <n v="2"/>
    <n v="1"/>
    <n v="2"/>
  </r>
  <r>
    <s v="No"/>
    <s v="Travel_Rarely"/>
    <x v="0"/>
    <s v="Current Employees"/>
    <x v="1"/>
    <x v="0"/>
    <s v="STAFF-496"/>
    <n v="496"/>
    <x v="1"/>
    <x v="4"/>
    <x v="0"/>
    <s v="No"/>
    <s v="Y"/>
    <n v="5"/>
    <n v="-2"/>
    <n v="0"/>
    <n v="35"/>
    <n v="0"/>
    <m/>
    <n v="0"/>
    <n v="1"/>
    <n v="755"/>
    <n v="9"/>
    <x v="2"/>
    <n v="1"/>
    <n v="3"/>
    <n v="97"/>
    <n v="2"/>
    <n v="2"/>
    <n v="2"/>
    <n v="6540"/>
    <n v="19394"/>
    <n v="9"/>
    <n v="19"/>
    <n v="3"/>
    <n v="3"/>
    <n v="80"/>
    <n v="0"/>
    <n v="10"/>
    <n v="3"/>
    <n v="1"/>
    <n v="1"/>
    <n v="0"/>
    <n v="0"/>
  </r>
  <r>
    <s v="No"/>
    <s v="Travel_Rarely"/>
    <x v="2"/>
    <s v="Current Employees"/>
    <x v="1"/>
    <x v="2"/>
    <s v="STAFF-497"/>
    <n v="497"/>
    <x v="1"/>
    <x v="2"/>
    <x v="2"/>
    <s v="No"/>
    <s v="Y"/>
    <n v="2"/>
    <n v="-2"/>
    <n v="0"/>
    <n v="27"/>
    <n v="0"/>
    <m/>
    <n v="0"/>
    <n v="1"/>
    <n v="1469"/>
    <n v="1"/>
    <x v="0"/>
    <n v="1"/>
    <n v="4"/>
    <n v="82"/>
    <n v="3"/>
    <n v="1"/>
    <n v="3"/>
    <n v="3816"/>
    <n v="17881"/>
    <n v="1"/>
    <n v="11"/>
    <n v="3"/>
    <n v="2"/>
    <n v="80"/>
    <n v="1"/>
    <n v="5"/>
    <n v="3"/>
    <n v="5"/>
    <n v="2"/>
    <n v="0"/>
    <n v="4"/>
  </r>
  <r>
    <s v="No"/>
    <s v="Travel_Rarely"/>
    <x v="2"/>
    <s v="Current Employees"/>
    <x v="0"/>
    <x v="0"/>
    <s v="STAFF-498"/>
    <n v="498"/>
    <x v="1"/>
    <x v="0"/>
    <x v="0"/>
    <s v="No"/>
    <s v="Y"/>
    <n v="1"/>
    <n v="-2"/>
    <n v="0"/>
    <n v="28"/>
    <n v="0"/>
    <m/>
    <n v="0"/>
    <n v="1"/>
    <n v="304"/>
    <n v="9"/>
    <x v="2"/>
    <n v="1"/>
    <n v="2"/>
    <n v="92"/>
    <n v="3"/>
    <n v="2"/>
    <n v="2"/>
    <n v="5253"/>
    <n v="20750"/>
    <n v="1"/>
    <n v="16"/>
    <n v="3"/>
    <n v="4"/>
    <n v="80"/>
    <n v="0"/>
    <n v="7"/>
    <n v="3"/>
    <n v="7"/>
    <n v="5"/>
    <n v="0"/>
    <n v="7"/>
  </r>
  <r>
    <s v="No"/>
    <s v="Travel_Rarely"/>
    <x v="1"/>
    <s v="Current Employees"/>
    <x v="1"/>
    <x v="1"/>
    <s v="STAFF-499"/>
    <n v="499"/>
    <x v="1"/>
    <x v="4"/>
    <x v="0"/>
    <s v="No"/>
    <s v="Y"/>
    <n v="2"/>
    <n v="-2"/>
    <n v="0"/>
    <n v="49"/>
    <n v="0"/>
    <m/>
    <n v="0"/>
    <n v="1"/>
    <n v="1261"/>
    <n v="7"/>
    <x v="3"/>
    <n v="1"/>
    <n v="2"/>
    <n v="31"/>
    <n v="2"/>
    <n v="3"/>
    <n v="3"/>
    <n v="10965"/>
    <n v="12066"/>
    <n v="8"/>
    <n v="24"/>
    <n v="4"/>
    <n v="3"/>
    <n v="80"/>
    <n v="0"/>
    <n v="26"/>
    <n v="3"/>
    <n v="5"/>
    <n v="2"/>
    <n v="0"/>
    <n v="0"/>
  </r>
  <r>
    <s v="No"/>
    <s v="Travel_Rarely"/>
    <x v="1"/>
    <s v="Current Employees"/>
    <x v="0"/>
    <x v="0"/>
    <s v="STAFF-500"/>
    <n v="500"/>
    <x v="0"/>
    <x v="0"/>
    <x v="1"/>
    <s v="No"/>
    <s v="Y"/>
    <n v="2"/>
    <n v="-2"/>
    <n v="0"/>
    <n v="51"/>
    <n v="0"/>
    <m/>
    <n v="0"/>
    <n v="1"/>
    <n v="1178"/>
    <n v="14"/>
    <x v="0"/>
    <n v="1"/>
    <n v="3"/>
    <n v="87"/>
    <n v="3"/>
    <n v="2"/>
    <n v="2"/>
    <n v="4936"/>
    <n v="14862"/>
    <n v="4"/>
    <n v="11"/>
    <n v="3"/>
    <n v="3"/>
    <n v="80"/>
    <n v="1"/>
    <n v="18"/>
    <n v="2"/>
    <n v="7"/>
    <n v="7"/>
    <n v="0"/>
    <n v="7"/>
  </r>
  <r>
    <s v="No"/>
    <s v="Travel_Rarely"/>
    <x v="0"/>
    <s v="Current Employees"/>
    <x v="1"/>
    <x v="0"/>
    <s v="STAFF-501"/>
    <n v="501"/>
    <x v="0"/>
    <x v="1"/>
    <x v="1"/>
    <s v="No"/>
    <s v="Y"/>
    <n v="3"/>
    <n v="-2"/>
    <n v="0"/>
    <n v="36"/>
    <n v="0"/>
    <m/>
    <n v="0"/>
    <n v="1"/>
    <n v="329"/>
    <n v="2"/>
    <x v="3"/>
    <n v="1"/>
    <n v="4"/>
    <n v="96"/>
    <n v="3"/>
    <n v="1"/>
    <n v="2"/>
    <n v="2543"/>
    <n v="11868"/>
    <n v="4"/>
    <n v="13"/>
    <n v="3"/>
    <n v="2"/>
    <n v="80"/>
    <n v="1"/>
    <n v="6"/>
    <n v="3"/>
    <n v="2"/>
    <n v="2"/>
    <n v="2"/>
    <n v="2"/>
  </r>
  <r>
    <s v="Yes"/>
    <s v="Non-Travel"/>
    <x v="2"/>
    <s v="Ex-Employees"/>
    <x v="0"/>
    <x v="3"/>
    <s v="STAFF-502"/>
    <n v="502"/>
    <x v="1"/>
    <x v="0"/>
    <x v="0"/>
    <s v="Yes"/>
    <s v="Y"/>
    <n v="3"/>
    <n v="-2"/>
    <n v="0"/>
    <n v="34"/>
    <n v="1"/>
    <n v="1"/>
    <n v="1"/>
    <n v="0"/>
    <n v="1362"/>
    <n v="19"/>
    <x v="3"/>
    <n v="1"/>
    <n v="1"/>
    <n v="67"/>
    <n v="4"/>
    <n v="2"/>
    <n v="1"/>
    <n v="5304"/>
    <n v="4652"/>
    <n v="8"/>
    <n v="13"/>
    <n v="3"/>
    <n v="2"/>
    <n v="80"/>
    <n v="0"/>
    <n v="9"/>
    <n v="2"/>
    <n v="5"/>
    <n v="2"/>
    <n v="0"/>
    <n v="4"/>
  </r>
  <r>
    <s v="No"/>
    <s v="Travel_Rarely"/>
    <x v="3"/>
    <s v="Current Employees"/>
    <x v="1"/>
    <x v="0"/>
    <s v="STAFF-505"/>
    <n v="505"/>
    <x v="0"/>
    <x v="5"/>
    <x v="0"/>
    <s v="Yes"/>
    <s v="Y"/>
    <n v="2"/>
    <n v="-2"/>
    <n v="0"/>
    <n v="55"/>
    <n v="0"/>
    <m/>
    <n v="0"/>
    <n v="1"/>
    <n v="1311"/>
    <n v="2"/>
    <x v="3"/>
    <n v="1"/>
    <n v="3"/>
    <n v="97"/>
    <n v="3"/>
    <n v="4"/>
    <n v="2"/>
    <n v="16659"/>
    <n v="23258"/>
    <n v="2"/>
    <n v="13"/>
    <n v="3"/>
    <n v="3"/>
    <n v="80"/>
    <n v="0"/>
    <n v="30"/>
    <n v="3"/>
    <n v="5"/>
    <n v="4"/>
    <n v="1"/>
    <n v="2"/>
  </r>
  <r>
    <s v="No"/>
    <s v="Travel_Rarely"/>
    <x v="4"/>
    <s v="Current Employees"/>
    <x v="0"/>
    <x v="3"/>
    <s v="STAFF-507"/>
    <n v="507"/>
    <x v="0"/>
    <x v="0"/>
    <x v="2"/>
    <s v="Yes"/>
    <s v="Y"/>
    <n v="2"/>
    <n v="-2"/>
    <n v="0"/>
    <n v="24"/>
    <n v="0"/>
    <m/>
    <n v="0"/>
    <n v="1"/>
    <n v="1371"/>
    <n v="10"/>
    <x v="2"/>
    <n v="1"/>
    <n v="4"/>
    <n v="77"/>
    <n v="3"/>
    <n v="2"/>
    <n v="1"/>
    <n v="4260"/>
    <n v="5915"/>
    <n v="1"/>
    <n v="12"/>
    <n v="3"/>
    <n v="4"/>
    <n v="80"/>
    <n v="1"/>
    <n v="5"/>
    <n v="4"/>
    <n v="5"/>
    <n v="2"/>
    <n v="0"/>
    <n v="3"/>
  </r>
  <r>
    <s v="No"/>
    <s v="Travel_Rarely"/>
    <x v="2"/>
    <s v="Current Employees"/>
    <x v="0"/>
    <x v="4"/>
    <s v="STAFF-508"/>
    <n v="508"/>
    <x v="1"/>
    <x v="6"/>
    <x v="1"/>
    <s v="No"/>
    <s v="Y"/>
    <n v="3"/>
    <n v="-2"/>
    <n v="0"/>
    <n v="30"/>
    <n v="0"/>
    <m/>
    <n v="0"/>
    <n v="1"/>
    <n v="202"/>
    <n v="2"/>
    <x v="1"/>
    <n v="1"/>
    <n v="4"/>
    <n v="72"/>
    <n v="3"/>
    <n v="1"/>
    <n v="4"/>
    <n v="2476"/>
    <n v="17434"/>
    <n v="1"/>
    <n v="18"/>
    <n v="3"/>
    <n v="1"/>
    <n v="80"/>
    <n v="1"/>
    <n v="1"/>
    <n v="3"/>
    <n v="1"/>
    <n v="0"/>
    <n v="0"/>
    <n v="0"/>
  </r>
  <r>
    <s v="Yes"/>
    <s v="Travel_Frequently"/>
    <x v="2"/>
    <s v="Ex-Employees"/>
    <x v="1"/>
    <x v="4"/>
    <s v="STAFF-510"/>
    <n v="510"/>
    <x v="1"/>
    <x v="1"/>
    <x v="0"/>
    <s v="No"/>
    <s v="Y"/>
    <n v="2"/>
    <n v="-2"/>
    <n v="0"/>
    <n v="26"/>
    <n v="1"/>
    <n v="1"/>
    <n v="1"/>
    <n v="0"/>
    <n v="575"/>
    <n v="3"/>
    <x v="1"/>
    <n v="1"/>
    <n v="4"/>
    <n v="73"/>
    <n v="3"/>
    <n v="1"/>
    <n v="4"/>
    <n v="3102"/>
    <n v="6582"/>
    <n v="0"/>
    <n v="22"/>
    <n v="4"/>
    <n v="3"/>
    <n v="80"/>
    <n v="0"/>
    <n v="7"/>
    <n v="3"/>
    <n v="6"/>
    <n v="4"/>
    <n v="0"/>
    <n v="4"/>
  </r>
  <r>
    <s v="No"/>
    <s v="Travel_Rarely"/>
    <x v="4"/>
    <s v="Current Employees"/>
    <x v="1"/>
    <x v="2"/>
    <s v="STAFF-511"/>
    <n v="511"/>
    <x v="0"/>
    <x v="1"/>
    <x v="1"/>
    <s v="No"/>
    <s v="Y"/>
    <n v="1"/>
    <n v="-2"/>
    <n v="0"/>
    <n v="22"/>
    <n v="0"/>
    <m/>
    <n v="0"/>
    <n v="1"/>
    <n v="253"/>
    <n v="11"/>
    <x v="3"/>
    <n v="1"/>
    <n v="1"/>
    <n v="43"/>
    <n v="3"/>
    <n v="1"/>
    <n v="3"/>
    <n v="2244"/>
    <n v="24440"/>
    <n v="1"/>
    <n v="13"/>
    <n v="3"/>
    <n v="4"/>
    <n v="80"/>
    <n v="1"/>
    <n v="2"/>
    <n v="3"/>
    <n v="2"/>
    <n v="1"/>
    <n v="1"/>
    <n v="2"/>
  </r>
  <r>
    <s v="No"/>
    <s v="Travel_Rarely"/>
    <x v="0"/>
    <s v="Current Employees"/>
    <x v="0"/>
    <x v="2"/>
    <s v="STAFF-513"/>
    <n v="513"/>
    <x v="1"/>
    <x v="0"/>
    <x v="1"/>
    <s v="No"/>
    <s v="Y"/>
    <n v="2"/>
    <n v="-2"/>
    <n v="0"/>
    <n v="36"/>
    <n v="0"/>
    <m/>
    <n v="0"/>
    <n v="1"/>
    <n v="164"/>
    <n v="2"/>
    <x v="0"/>
    <n v="1"/>
    <n v="2"/>
    <n v="61"/>
    <n v="2"/>
    <n v="3"/>
    <n v="3"/>
    <n v="7596"/>
    <n v="3809"/>
    <n v="1"/>
    <n v="13"/>
    <n v="3"/>
    <n v="2"/>
    <n v="80"/>
    <n v="2"/>
    <n v="10"/>
    <n v="3"/>
    <n v="10"/>
    <n v="9"/>
    <n v="9"/>
    <n v="0"/>
  </r>
  <r>
    <s v="Yes"/>
    <s v="Travel_Frequently"/>
    <x v="2"/>
    <s v="Ex-Employees"/>
    <x v="1"/>
    <x v="4"/>
    <s v="STAFF-514"/>
    <n v="514"/>
    <x v="1"/>
    <x v="1"/>
    <x v="0"/>
    <s v="Yes"/>
    <s v="Y"/>
    <n v="4"/>
    <n v="-2"/>
    <n v="0"/>
    <n v="30"/>
    <n v="1"/>
    <n v="1"/>
    <n v="1"/>
    <n v="0"/>
    <n v="464"/>
    <n v="4"/>
    <x v="3"/>
    <n v="1"/>
    <n v="4"/>
    <n v="40"/>
    <n v="3"/>
    <n v="1"/>
    <n v="4"/>
    <n v="2285"/>
    <n v="3427"/>
    <n v="9"/>
    <n v="23"/>
    <n v="4"/>
    <n v="3"/>
    <n v="80"/>
    <n v="0"/>
    <n v="3"/>
    <n v="3"/>
    <n v="1"/>
    <n v="0"/>
    <n v="0"/>
    <n v="0"/>
  </r>
  <r>
    <s v="No"/>
    <s v="Travel_Rarely"/>
    <x v="0"/>
    <s v="Current Employees"/>
    <x v="1"/>
    <x v="0"/>
    <s v="STAFF-515"/>
    <n v="515"/>
    <x v="0"/>
    <x v="2"/>
    <x v="2"/>
    <s v="No"/>
    <s v="Y"/>
    <n v="2"/>
    <n v="-2"/>
    <n v="0"/>
    <n v="37"/>
    <n v="0"/>
    <m/>
    <n v="0"/>
    <n v="1"/>
    <n v="1107"/>
    <n v="14"/>
    <x v="3"/>
    <n v="1"/>
    <n v="4"/>
    <n v="95"/>
    <n v="3"/>
    <n v="1"/>
    <n v="2"/>
    <n v="3034"/>
    <n v="26914"/>
    <n v="1"/>
    <n v="12"/>
    <n v="3"/>
    <n v="3"/>
    <n v="80"/>
    <n v="1"/>
    <n v="18"/>
    <n v="2"/>
    <n v="18"/>
    <n v="7"/>
    <n v="12"/>
    <n v="17"/>
  </r>
  <r>
    <s v="No"/>
    <s v="Travel_Rarely"/>
    <x v="0"/>
    <s v="Current Employees"/>
    <x v="0"/>
    <x v="3"/>
    <s v="STAFF-516"/>
    <n v="516"/>
    <x v="0"/>
    <x v="0"/>
    <x v="2"/>
    <s v="No"/>
    <s v="Y"/>
    <n v="5"/>
    <n v="-2"/>
    <n v="0"/>
    <n v="40"/>
    <n v="0"/>
    <m/>
    <n v="0"/>
    <n v="1"/>
    <n v="759"/>
    <n v="2"/>
    <x v="0"/>
    <n v="1"/>
    <n v="4"/>
    <n v="46"/>
    <n v="3"/>
    <n v="2"/>
    <n v="1"/>
    <n v="5715"/>
    <n v="22553"/>
    <n v="7"/>
    <n v="12"/>
    <n v="3"/>
    <n v="3"/>
    <n v="80"/>
    <n v="2"/>
    <n v="8"/>
    <n v="3"/>
    <n v="5"/>
    <n v="4"/>
    <n v="1"/>
    <n v="3"/>
  </r>
  <r>
    <s v="No"/>
    <s v="Travel_Rarely"/>
    <x v="0"/>
    <s v="Current Employees"/>
    <x v="1"/>
    <x v="0"/>
    <s v="STAFF-517"/>
    <n v="517"/>
    <x v="0"/>
    <x v="2"/>
    <x v="2"/>
    <s v="No"/>
    <s v="Y"/>
    <n v="5"/>
    <n v="-2"/>
    <n v="0"/>
    <n v="42"/>
    <n v="0"/>
    <m/>
    <n v="0"/>
    <n v="1"/>
    <n v="201"/>
    <n v="1"/>
    <x v="2"/>
    <n v="1"/>
    <n v="2"/>
    <n v="95"/>
    <n v="3"/>
    <n v="1"/>
    <n v="2"/>
    <n v="2576"/>
    <n v="20490"/>
    <n v="3"/>
    <n v="16"/>
    <n v="3"/>
    <n v="2"/>
    <n v="80"/>
    <n v="1"/>
    <n v="8"/>
    <n v="3"/>
    <n v="5"/>
    <n v="2"/>
    <n v="1"/>
    <n v="2"/>
  </r>
  <r>
    <s v="No"/>
    <s v="Travel_Rarely"/>
    <x v="0"/>
    <s v="Current Employees"/>
    <x v="1"/>
    <x v="0"/>
    <s v="STAFF-518"/>
    <n v="518"/>
    <x v="1"/>
    <x v="3"/>
    <x v="0"/>
    <s v="Yes"/>
    <s v="Y"/>
    <n v="2"/>
    <n v="-2"/>
    <n v="0"/>
    <n v="37"/>
    <n v="0"/>
    <m/>
    <n v="0"/>
    <n v="1"/>
    <n v="1305"/>
    <n v="10"/>
    <x v="2"/>
    <n v="1"/>
    <n v="3"/>
    <n v="49"/>
    <n v="3"/>
    <n v="2"/>
    <n v="2"/>
    <n v="4197"/>
    <n v="21123"/>
    <n v="2"/>
    <n v="12"/>
    <n v="3"/>
    <n v="4"/>
    <n v="80"/>
    <n v="0"/>
    <n v="18"/>
    <n v="2"/>
    <n v="1"/>
    <n v="0"/>
    <n v="0"/>
    <n v="1"/>
  </r>
  <r>
    <s v="No"/>
    <s v="Travel_Rarely"/>
    <x v="0"/>
    <s v="Current Employees"/>
    <x v="1"/>
    <x v="0"/>
    <s v="STAFF-520"/>
    <n v="520"/>
    <x v="1"/>
    <x v="7"/>
    <x v="2"/>
    <s v="No"/>
    <s v="Y"/>
    <n v="3"/>
    <n v="-2"/>
    <n v="0"/>
    <n v="43"/>
    <n v="0"/>
    <m/>
    <n v="0"/>
    <n v="1"/>
    <n v="982"/>
    <n v="12"/>
    <x v="3"/>
    <n v="1"/>
    <n v="1"/>
    <n v="59"/>
    <n v="2"/>
    <n v="4"/>
    <n v="2"/>
    <n v="14336"/>
    <n v="4345"/>
    <n v="1"/>
    <n v="11"/>
    <n v="3"/>
    <n v="3"/>
    <n v="80"/>
    <n v="1"/>
    <n v="25"/>
    <n v="3"/>
    <n v="25"/>
    <n v="10"/>
    <n v="3"/>
    <n v="9"/>
  </r>
  <r>
    <s v="No"/>
    <s v="Travel_Rarely"/>
    <x v="0"/>
    <s v="Current Employees"/>
    <x v="1"/>
    <x v="2"/>
    <s v="STAFF-521"/>
    <n v="521"/>
    <x v="0"/>
    <x v="2"/>
    <x v="1"/>
    <s v="No"/>
    <s v="Y"/>
    <n v="3"/>
    <n v="-2"/>
    <n v="0"/>
    <n v="40"/>
    <n v="0"/>
    <m/>
    <n v="0"/>
    <n v="1"/>
    <n v="555"/>
    <n v="2"/>
    <x v="3"/>
    <n v="1"/>
    <n v="2"/>
    <n v="78"/>
    <n v="2"/>
    <n v="2"/>
    <n v="3"/>
    <n v="3448"/>
    <n v="13436"/>
    <n v="6"/>
    <n v="22"/>
    <n v="4"/>
    <n v="2"/>
    <n v="80"/>
    <n v="1"/>
    <n v="20"/>
    <n v="3"/>
    <n v="1"/>
    <n v="0"/>
    <n v="0"/>
    <n v="0"/>
  </r>
  <r>
    <s v="No"/>
    <s v="Travel_Rarely"/>
    <x v="1"/>
    <s v="Current Employees"/>
    <x v="1"/>
    <x v="2"/>
    <s v="STAFF-522"/>
    <n v="522"/>
    <x v="1"/>
    <x v="7"/>
    <x v="1"/>
    <s v="No"/>
    <s v="Y"/>
    <n v="4"/>
    <n v="-2"/>
    <n v="0"/>
    <n v="54"/>
    <n v="0"/>
    <m/>
    <n v="0"/>
    <n v="1"/>
    <n v="821"/>
    <n v="5"/>
    <x v="0"/>
    <n v="1"/>
    <n v="1"/>
    <n v="86"/>
    <n v="3"/>
    <n v="5"/>
    <n v="3"/>
    <n v="19406"/>
    <n v="8509"/>
    <n v="4"/>
    <n v="11"/>
    <n v="3"/>
    <n v="3"/>
    <n v="80"/>
    <n v="1"/>
    <n v="24"/>
    <n v="2"/>
    <n v="4"/>
    <n v="2"/>
    <n v="1"/>
    <n v="2"/>
  </r>
  <r>
    <s v="No"/>
    <s v="Non-Travel"/>
    <x v="2"/>
    <s v="Current Employees"/>
    <x v="0"/>
    <x v="3"/>
    <s v="STAFF-523"/>
    <n v="523"/>
    <x v="0"/>
    <x v="0"/>
    <x v="1"/>
    <s v="No"/>
    <s v="Y"/>
    <n v="3"/>
    <n v="-2"/>
    <n v="0"/>
    <n v="34"/>
    <n v="0"/>
    <m/>
    <n v="0"/>
    <n v="1"/>
    <n v="1381"/>
    <n v="4"/>
    <x v="2"/>
    <n v="1"/>
    <n v="3"/>
    <n v="72"/>
    <n v="3"/>
    <n v="2"/>
    <n v="1"/>
    <n v="6538"/>
    <n v="12740"/>
    <n v="9"/>
    <n v="15"/>
    <n v="3"/>
    <n v="1"/>
    <n v="80"/>
    <n v="1"/>
    <n v="6"/>
    <n v="3"/>
    <n v="3"/>
    <n v="2"/>
    <n v="1"/>
    <n v="2"/>
  </r>
  <r>
    <s v="No"/>
    <s v="Travel_Rarely"/>
    <x v="2"/>
    <s v="Current Employees"/>
    <x v="1"/>
    <x v="2"/>
    <s v="STAFF-524"/>
    <n v="524"/>
    <x v="0"/>
    <x v="3"/>
    <x v="1"/>
    <s v="No"/>
    <s v="Y"/>
    <n v="5"/>
    <n v="-2"/>
    <n v="0"/>
    <n v="31"/>
    <n v="0"/>
    <m/>
    <n v="0"/>
    <n v="1"/>
    <n v="480"/>
    <n v="7"/>
    <x v="0"/>
    <n v="1"/>
    <n v="2"/>
    <n v="31"/>
    <n v="3"/>
    <n v="2"/>
    <n v="3"/>
    <n v="4306"/>
    <n v="4156"/>
    <n v="1"/>
    <n v="12"/>
    <n v="3"/>
    <n v="2"/>
    <n v="80"/>
    <n v="1"/>
    <n v="13"/>
    <n v="1"/>
    <n v="13"/>
    <n v="10"/>
    <n v="3"/>
    <n v="12"/>
  </r>
  <r>
    <s v="No"/>
    <s v="Travel_Frequently"/>
    <x v="0"/>
    <s v="Current Employees"/>
    <x v="1"/>
    <x v="2"/>
    <s v="STAFF-525"/>
    <n v="525"/>
    <x v="1"/>
    <x v="2"/>
    <x v="1"/>
    <s v="No"/>
    <s v="Y"/>
    <n v="1"/>
    <n v="-2"/>
    <n v="0"/>
    <n v="43"/>
    <n v="0"/>
    <m/>
    <n v="0"/>
    <n v="1"/>
    <n v="313"/>
    <n v="21"/>
    <x v="3"/>
    <n v="1"/>
    <n v="4"/>
    <n v="61"/>
    <n v="3"/>
    <n v="1"/>
    <n v="4"/>
    <n v="2258"/>
    <n v="15238"/>
    <n v="7"/>
    <n v="20"/>
    <n v="4"/>
    <n v="1"/>
    <n v="80"/>
    <n v="1"/>
    <n v="8"/>
    <n v="3"/>
    <n v="3"/>
    <n v="2"/>
    <n v="1"/>
    <n v="2"/>
  </r>
  <r>
    <s v="No"/>
    <s v="Travel_Rarely"/>
    <x v="0"/>
    <s v="Current Employees"/>
    <x v="1"/>
    <x v="1"/>
    <s v="STAFF-526"/>
    <n v="526"/>
    <x v="0"/>
    <x v="4"/>
    <x v="2"/>
    <s v="Yes"/>
    <s v="Y"/>
    <n v="3"/>
    <n v="-2"/>
    <n v="0"/>
    <n v="43"/>
    <n v="0"/>
    <m/>
    <n v="0"/>
    <n v="1"/>
    <n v="1473"/>
    <n v="8"/>
    <x v="2"/>
    <n v="1"/>
    <n v="3"/>
    <n v="74"/>
    <n v="3"/>
    <n v="2"/>
    <n v="3"/>
    <n v="4522"/>
    <n v="2227"/>
    <n v="4"/>
    <n v="14"/>
    <n v="3"/>
    <n v="4"/>
    <n v="80"/>
    <n v="0"/>
    <n v="8"/>
    <n v="3"/>
    <n v="5"/>
    <n v="2"/>
    <n v="0"/>
    <n v="2"/>
  </r>
  <r>
    <s v="No"/>
    <s v="Travel_Rarely"/>
    <x v="2"/>
    <s v="Current Employees"/>
    <x v="0"/>
    <x v="0"/>
    <s v="STAFF-527"/>
    <n v="527"/>
    <x v="0"/>
    <x v="0"/>
    <x v="0"/>
    <s v="Yes"/>
    <s v="Y"/>
    <n v="3"/>
    <n v="-2"/>
    <n v="0"/>
    <n v="25"/>
    <n v="0"/>
    <m/>
    <n v="0"/>
    <n v="1"/>
    <n v="891"/>
    <n v="4"/>
    <x v="0"/>
    <n v="1"/>
    <n v="2"/>
    <n v="99"/>
    <n v="2"/>
    <n v="2"/>
    <n v="2"/>
    <n v="4487"/>
    <n v="12090"/>
    <n v="1"/>
    <n v="11"/>
    <n v="3"/>
    <n v="2"/>
    <n v="80"/>
    <n v="0"/>
    <n v="5"/>
    <n v="3"/>
    <n v="5"/>
    <n v="4"/>
    <n v="1"/>
    <n v="3"/>
  </r>
  <r>
    <s v="No"/>
    <s v="Non-Travel"/>
    <x v="0"/>
    <s v="Current Employees"/>
    <x v="1"/>
    <x v="2"/>
    <s v="STAFF-529"/>
    <n v="529"/>
    <x v="0"/>
    <x v="1"/>
    <x v="1"/>
    <s v="Yes"/>
    <s v="Y"/>
    <n v="2"/>
    <n v="-2"/>
    <n v="0"/>
    <n v="37"/>
    <n v="0"/>
    <m/>
    <n v="0"/>
    <n v="1"/>
    <n v="1063"/>
    <n v="25"/>
    <x v="4"/>
    <n v="1"/>
    <n v="2"/>
    <n v="72"/>
    <n v="3"/>
    <n v="2"/>
    <n v="3"/>
    <n v="4449"/>
    <n v="23866"/>
    <n v="3"/>
    <n v="15"/>
    <n v="3"/>
    <n v="1"/>
    <n v="80"/>
    <n v="2"/>
    <n v="15"/>
    <n v="3"/>
    <n v="13"/>
    <n v="11"/>
    <n v="10"/>
    <n v="7"/>
  </r>
  <r>
    <s v="No"/>
    <s v="Travel_Rarely"/>
    <x v="2"/>
    <s v="Current Employees"/>
    <x v="1"/>
    <x v="0"/>
    <s v="STAFF-530"/>
    <n v="530"/>
    <x v="1"/>
    <x v="2"/>
    <x v="1"/>
    <s v="No"/>
    <s v="Y"/>
    <n v="3"/>
    <n v="-2"/>
    <n v="0"/>
    <n v="31"/>
    <n v="0"/>
    <m/>
    <n v="0"/>
    <n v="1"/>
    <n v="329"/>
    <n v="1"/>
    <x v="0"/>
    <n v="1"/>
    <n v="4"/>
    <n v="98"/>
    <n v="2"/>
    <n v="1"/>
    <n v="2"/>
    <n v="2218"/>
    <n v="16193"/>
    <n v="1"/>
    <n v="12"/>
    <n v="3"/>
    <n v="3"/>
    <n v="80"/>
    <n v="1"/>
    <n v="4"/>
    <n v="3"/>
    <n v="4"/>
    <n v="2"/>
    <n v="3"/>
    <n v="2"/>
  </r>
  <r>
    <s v="No"/>
    <s v="Travel_Frequently"/>
    <x v="0"/>
    <s v="Current Employees"/>
    <x v="1"/>
    <x v="0"/>
    <s v="STAFF-531"/>
    <n v="531"/>
    <x v="1"/>
    <x v="5"/>
    <x v="2"/>
    <s v="Yes"/>
    <s v="Y"/>
    <n v="3"/>
    <n v="-2"/>
    <n v="0"/>
    <n v="39"/>
    <n v="0"/>
    <m/>
    <n v="0"/>
    <n v="1"/>
    <n v="1218"/>
    <n v="1"/>
    <x v="1"/>
    <n v="1"/>
    <n v="2"/>
    <n v="52"/>
    <n v="3"/>
    <n v="5"/>
    <n v="2"/>
    <n v="19197"/>
    <n v="8213"/>
    <n v="1"/>
    <n v="14"/>
    <n v="3"/>
    <n v="3"/>
    <n v="80"/>
    <n v="1"/>
    <n v="21"/>
    <n v="3"/>
    <n v="21"/>
    <n v="8"/>
    <n v="1"/>
    <n v="6"/>
  </r>
  <r>
    <s v="No"/>
    <s v="Travel_Frequently"/>
    <x v="3"/>
    <s v="Current Employees"/>
    <x v="0"/>
    <x v="0"/>
    <s v="STAFF-532"/>
    <n v="532"/>
    <x v="0"/>
    <x v="0"/>
    <x v="1"/>
    <s v="No"/>
    <s v="Y"/>
    <n v="0"/>
    <n v="-2"/>
    <n v="0"/>
    <n v="56"/>
    <n v="0"/>
    <m/>
    <n v="0"/>
    <n v="1"/>
    <n v="906"/>
    <n v="6"/>
    <x v="3"/>
    <n v="1"/>
    <n v="3"/>
    <n v="86"/>
    <n v="4"/>
    <n v="4"/>
    <n v="2"/>
    <n v="13212"/>
    <n v="18256"/>
    <n v="9"/>
    <n v="11"/>
    <n v="3"/>
    <n v="4"/>
    <n v="80"/>
    <n v="3"/>
    <n v="36"/>
    <n v="2"/>
    <n v="7"/>
    <n v="7"/>
    <n v="7"/>
    <n v="7"/>
  </r>
  <r>
    <s v="No"/>
    <s v="Travel_Rarely"/>
    <x v="2"/>
    <s v="Current Employees"/>
    <x v="0"/>
    <x v="4"/>
    <s v="STAFF-533"/>
    <n v="533"/>
    <x v="0"/>
    <x v="0"/>
    <x v="0"/>
    <s v="No"/>
    <s v="Y"/>
    <n v="6"/>
    <n v="-2"/>
    <n v="0"/>
    <n v="30"/>
    <n v="0"/>
    <m/>
    <n v="0"/>
    <n v="1"/>
    <n v="1082"/>
    <n v="12"/>
    <x v="3"/>
    <n v="1"/>
    <n v="4"/>
    <n v="83"/>
    <n v="3"/>
    <n v="2"/>
    <n v="4"/>
    <n v="6577"/>
    <n v="19558"/>
    <n v="0"/>
    <n v="11"/>
    <n v="3"/>
    <n v="2"/>
    <n v="80"/>
    <n v="0"/>
    <n v="6"/>
    <n v="3"/>
    <n v="5"/>
    <n v="4"/>
    <n v="4"/>
    <n v="4"/>
  </r>
  <r>
    <s v="No"/>
    <s v="Travel_Rarely"/>
    <x v="0"/>
    <s v="Current Employees"/>
    <x v="0"/>
    <x v="3"/>
    <s v="STAFF-534"/>
    <n v="534"/>
    <x v="1"/>
    <x v="0"/>
    <x v="1"/>
    <s v="No"/>
    <s v="Y"/>
    <n v="2"/>
    <n v="-2"/>
    <n v="0"/>
    <n v="41"/>
    <n v="0"/>
    <m/>
    <n v="0"/>
    <n v="1"/>
    <n v="645"/>
    <n v="1"/>
    <x v="3"/>
    <n v="1"/>
    <n v="2"/>
    <n v="49"/>
    <n v="4"/>
    <n v="3"/>
    <n v="1"/>
    <n v="8392"/>
    <n v="19566"/>
    <n v="1"/>
    <n v="16"/>
    <n v="3"/>
    <n v="3"/>
    <n v="80"/>
    <n v="1"/>
    <n v="10"/>
    <n v="3"/>
    <n v="10"/>
    <n v="7"/>
    <n v="0"/>
    <n v="7"/>
  </r>
  <r>
    <s v="No"/>
    <s v="Travel_Rarely"/>
    <x v="2"/>
    <s v="Current Employees"/>
    <x v="1"/>
    <x v="2"/>
    <s v="STAFF-536"/>
    <n v="536"/>
    <x v="1"/>
    <x v="2"/>
    <x v="2"/>
    <s v="No"/>
    <s v="Y"/>
    <n v="2"/>
    <n v="-2"/>
    <n v="0"/>
    <n v="28"/>
    <n v="0"/>
    <m/>
    <n v="0"/>
    <n v="1"/>
    <n v="1300"/>
    <n v="17"/>
    <x v="0"/>
    <n v="1"/>
    <n v="3"/>
    <n v="79"/>
    <n v="3"/>
    <n v="2"/>
    <n v="3"/>
    <n v="4558"/>
    <n v="13535"/>
    <n v="1"/>
    <n v="12"/>
    <n v="3"/>
    <n v="4"/>
    <n v="80"/>
    <n v="1"/>
    <n v="10"/>
    <n v="3"/>
    <n v="10"/>
    <n v="0"/>
    <n v="1"/>
    <n v="8"/>
  </r>
  <r>
    <s v="Yes"/>
    <s v="Travel_Rarely"/>
    <x v="2"/>
    <s v="Ex-Employees"/>
    <x v="1"/>
    <x v="2"/>
    <s v="STAFF-538"/>
    <n v="538"/>
    <x v="1"/>
    <x v="2"/>
    <x v="1"/>
    <s v="No"/>
    <s v="Y"/>
    <n v="5"/>
    <n v="-2"/>
    <n v="0"/>
    <n v="25"/>
    <n v="1"/>
    <n v="1"/>
    <n v="1"/>
    <n v="0"/>
    <n v="688"/>
    <n v="3"/>
    <x v="3"/>
    <n v="1"/>
    <n v="1"/>
    <n v="91"/>
    <n v="3"/>
    <n v="1"/>
    <n v="3"/>
    <n v="4031"/>
    <n v="9396"/>
    <n v="5"/>
    <n v="13"/>
    <n v="3"/>
    <n v="3"/>
    <n v="80"/>
    <n v="1"/>
    <n v="6"/>
    <n v="3"/>
    <n v="2"/>
    <n v="2"/>
    <n v="0"/>
    <n v="2"/>
  </r>
  <r>
    <s v="No"/>
    <s v="Travel_Rarely"/>
    <x v="1"/>
    <s v="Current Employees"/>
    <x v="1"/>
    <x v="2"/>
    <s v="STAFF-543"/>
    <n v="543"/>
    <x v="1"/>
    <x v="3"/>
    <x v="1"/>
    <s v="Yes"/>
    <s v="Y"/>
    <n v="4"/>
    <n v="-2"/>
    <n v="0"/>
    <n v="52"/>
    <n v="0"/>
    <m/>
    <n v="0"/>
    <n v="1"/>
    <n v="319"/>
    <n v="3"/>
    <x v="3"/>
    <n v="1"/>
    <n v="4"/>
    <n v="39"/>
    <n v="2"/>
    <n v="3"/>
    <n v="3"/>
    <n v="7969"/>
    <n v="19609"/>
    <n v="2"/>
    <n v="14"/>
    <n v="3"/>
    <n v="3"/>
    <n v="80"/>
    <n v="0"/>
    <n v="28"/>
    <n v="3"/>
    <n v="5"/>
    <n v="4"/>
    <n v="0"/>
    <n v="4"/>
  </r>
  <r>
    <s v="No"/>
    <s v="Travel_Rarely"/>
    <x v="1"/>
    <s v="Current Employees"/>
    <x v="1"/>
    <x v="0"/>
    <s v="STAFF-544"/>
    <n v="544"/>
    <x v="1"/>
    <x v="1"/>
    <x v="1"/>
    <s v="No"/>
    <s v="Y"/>
    <n v="3"/>
    <n v="-2"/>
    <n v="0"/>
    <n v="45"/>
    <n v="0"/>
    <m/>
    <n v="0"/>
    <n v="1"/>
    <n v="192"/>
    <n v="10"/>
    <x v="0"/>
    <n v="1"/>
    <n v="1"/>
    <n v="69"/>
    <n v="3"/>
    <n v="1"/>
    <n v="2"/>
    <n v="2654"/>
    <n v="9655"/>
    <n v="3"/>
    <n v="21"/>
    <n v="4"/>
    <n v="4"/>
    <n v="80"/>
    <n v="2"/>
    <n v="8"/>
    <n v="2"/>
    <n v="2"/>
    <n v="2"/>
    <n v="0"/>
    <n v="2"/>
  </r>
  <r>
    <s v="No"/>
    <s v="Travel_Rarely"/>
    <x v="1"/>
    <s v="Current Employees"/>
    <x v="1"/>
    <x v="0"/>
    <s v="STAFF-546"/>
    <n v="546"/>
    <x v="0"/>
    <x v="5"/>
    <x v="1"/>
    <s v="No"/>
    <s v="Y"/>
    <n v="2"/>
    <n v="-2"/>
    <n v="0"/>
    <n v="52"/>
    <n v="0"/>
    <m/>
    <n v="0"/>
    <n v="1"/>
    <n v="1490"/>
    <n v="4"/>
    <x v="0"/>
    <n v="1"/>
    <n v="4"/>
    <n v="30"/>
    <n v="3"/>
    <n v="4"/>
    <n v="2"/>
    <n v="16555"/>
    <n v="10310"/>
    <n v="2"/>
    <n v="13"/>
    <n v="3"/>
    <n v="4"/>
    <n v="80"/>
    <n v="0"/>
    <n v="31"/>
    <n v="1"/>
    <n v="5"/>
    <n v="2"/>
    <n v="1"/>
    <n v="4"/>
  </r>
  <r>
    <s v="No"/>
    <s v="Travel_Frequently"/>
    <x v="0"/>
    <s v="Current Employees"/>
    <x v="1"/>
    <x v="0"/>
    <s v="STAFF-547"/>
    <n v="547"/>
    <x v="0"/>
    <x v="1"/>
    <x v="2"/>
    <s v="No"/>
    <s v="Y"/>
    <n v="3"/>
    <n v="-2"/>
    <n v="0"/>
    <n v="42"/>
    <n v="0"/>
    <m/>
    <n v="0"/>
    <n v="1"/>
    <n v="532"/>
    <n v="29"/>
    <x v="0"/>
    <n v="1"/>
    <n v="1"/>
    <n v="92"/>
    <n v="3"/>
    <n v="2"/>
    <n v="2"/>
    <n v="4556"/>
    <n v="12932"/>
    <n v="2"/>
    <n v="11"/>
    <n v="3"/>
    <n v="2"/>
    <n v="80"/>
    <n v="1"/>
    <n v="19"/>
    <n v="3"/>
    <n v="5"/>
    <n v="4"/>
    <n v="0"/>
    <n v="2"/>
  </r>
  <r>
    <s v="No"/>
    <s v="Travel_Rarely"/>
    <x v="2"/>
    <s v="Current Employees"/>
    <x v="1"/>
    <x v="0"/>
    <s v="STAFF-548"/>
    <n v="548"/>
    <x v="0"/>
    <x v="3"/>
    <x v="0"/>
    <s v="No"/>
    <s v="Y"/>
    <n v="2"/>
    <n v="-2"/>
    <n v="0"/>
    <n v="30"/>
    <n v="0"/>
    <m/>
    <n v="0"/>
    <n v="1"/>
    <n v="317"/>
    <n v="2"/>
    <x v="3"/>
    <n v="1"/>
    <n v="3"/>
    <n v="43"/>
    <n v="1"/>
    <n v="2"/>
    <n v="2"/>
    <n v="6091"/>
    <n v="24793"/>
    <n v="2"/>
    <n v="20"/>
    <n v="4"/>
    <n v="3"/>
    <n v="80"/>
    <n v="0"/>
    <n v="11"/>
    <n v="3"/>
    <n v="5"/>
    <n v="4"/>
    <n v="0"/>
    <n v="2"/>
  </r>
  <r>
    <s v="No"/>
    <s v="Travel_Rarely"/>
    <x v="3"/>
    <s v="Current Employees"/>
    <x v="1"/>
    <x v="0"/>
    <s v="STAFF-549"/>
    <n v="549"/>
    <x v="0"/>
    <x v="5"/>
    <x v="1"/>
    <s v="No"/>
    <s v="Y"/>
    <n v="5"/>
    <n v="-2"/>
    <n v="0"/>
    <n v="60"/>
    <n v="0"/>
    <m/>
    <n v="0"/>
    <n v="1"/>
    <n v="422"/>
    <n v="7"/>
    <x v="3"/>
    <n v="1"/>
    <n v="1"/>
    <n v="41"/>
    <n v="3"/>
    <n v="5"/>
    <n v="2"/>
    <n v="19566"/>
    <n v="3854"/>
    <n v="5"/>
    <n v="11"/>
    <n v="3"/>
    <n v="4"/>
    <n v="80"/>
    <n v="0"/>
    <n v="33"/>
    <n v="1"/>
    <n v="29"/>
    <n v="8"/>
    <n v="11"/>
    <n v="10"/>
  </r>
  <r>
    <s v="No"/>
    <s v="Travel_Rarely"/>
    <x v="1"/>
    <s v="Current Employees"/>
    <x v="1"/>
    <x v="2"/>
    <s v="STAFF-550"/>
    <n v="550"/>
    <x v="0"/>
    <x v="3"/>
    <x v="2"/>
    <s v="No"/>
    <s v="Y"/>
    <n v="5"/>
    <n v="-2"/>
    <n v="0"/>
    <n v="46"/>
    <n v="0"/>
    <m/>
    <n v="0"/>
    <n v="1"/>
    <n v="1485"/>
    <n v="18"/>
    <x v="3"/>
    <n v="1"/>
    <n v="3"/>
    <n v="87"/>
    <n v="3"/>
    <n v="2"/>
    <n v="3"/>
    <n v="4810"/>
    <n v="26314"/>
    <n v="2"/>
    <n v="14"/>
    <n v="3"/>
    <n v="3"/>
    <n v="80"/>
    <n v="1"/>
    <n v="19"/>
    <n v="2"/>
    <n v="10"/>
    <n v="7"/>
    <n v="0"/>
    <n v="8"/>
  </r>
  <r>
    <s v="No"/>
    <s v="Travel_Frequently"/>
    <x v="0"/>
    <s v="Current Employees"/>
    <x v="1"/>
    <x v="4"/>
    <s v="STAFF-551"/>
    <n v="551"/>
    <x v="0"/>
    <x v="4"/>
    <x v="1"/>
    <s v="No"/>
    <s v="Y"/>
    <n v="4"/>
    <n v="-2"/>
    <n v="0"/>
    <n v="42"/>
    <n v="0"/>
    <m/>
    <n v="0"/>
    <n v="1"/>
    <n v="1368"/>
    <n v="28"/>
    <x v="2"/>
    <n v="1"/>
    <n v="4"/>
    <n v="88"/>
    <n v="2"/>
    <n v="2"/>
    <n v="4"/>
    <n v="4523"/>
    <n v="4386"/>
    <n v="0"/>
    <n v="11"/>
    <n v="3"/>
    <n v="4"/>
    <n v="80"/>
    <n v="3"/>
    <n v="7"/>
    <n v="4"/>
    <n v="6"/>
    <n v="5"/>
    <n v="0"/>
    <n v="4"/>
  </r>
  <r>
    <s v="Yes"/>
    <s v="Travel_Rarely"/>
    <x v="4"/>
    <s v="Ex-Employees"/>
    <x v="0"/>
    <x v="4"/>
    <s v="STAFF-554"/>
    <n v="554"/>
    <x v="0"/>
    <x v="6"/>
    <x v="0"/>
    <s v="Yes"/>
    <s v="Y"/>
    <n v="4"/>
    <n v="-2"/>
    <n v="0"/>
    <n v="24"/>
    <n v="1"/>
    <n v="1"/>
    <n v="1"/>
    <n v="0"/>
    <n v="1448"/>
    <n v="1"/>
    <x v="1"/>
    <n v="1"/>
    <n v="4"/>
    <n v="62"/>
    <n v="3"/>
    <n v="1"/>
    <n v="4"/>
    <n v="3202"/>
    <n v="21972"/>
    <n v="1"/>
    <n v="16"/>
    <n v="3"/>
    <n v="2"/>
    <n v="80"/>
    <n v="0"/>
    <n v="6"/>
    <n v="3"/>
    <n v="5"/>
    <n v="3"/>
    <n v="1"/>
    <n v="4"/>
  </r>
  <r>
    <s v="Yes"/>
    <s v="Travel_Frequently"/>
    <x v="2"/>
    <s v="Ex-Employees"/>
    <x v="0"/>
    <x v="3"/>
    <s v="STAFF-555"/>
    <n v="555"/>
    <x v="0"/>
    <x v="6"/>
    <x v="2"/>
    <s v="No"/>
    <s v="Y"/>
    <n v="3"/>
    <n v="-2"/>
    <n v="0"/>
    <n v="34"/>
    <n v="1"/>
    <n v="1"/>
    <n v="1"/>
    <n v="0"/>
    <n v="296"/>
    <n v="6"/>
    <x v="0"/>
    <n v="1"/>
    <n v="4"/>
    <n v="33"/>
    <n v="1"/>
    <n v="1"/>
    <n v="1"/>
    <n v="2351"/>
    <n v="12253"/>
    <n v="0"/>
    <n v="16"/>
    <n v="3"/>
    <n v="4"/>
    <n v="80"/>
    <n v="1"/>
    <n v="3"/>
    <n v="2"/>
    <n v="2"/>
    <n v="2"/>
    <n v="1"/>
    <n v="0"/>
  </r>
  <r>
    <s v="No"/>
    <s v="Travel_Frequently"/>
    <x v="0"/>
    <s v="Current Employees"/>
    <x v="1"/>
    <x v="0"/>
    <s v="STAFF-556"/>
    <n v="556"/>
    <x v="1"/>
    <x v="2"/>
    <x v="1"/>
    <s v="Yes"/>
    <s v="Y"/>
    <n v="3"/>
    <n v="-2"/>
    <n v="0"/>
    <n v="38"/>
    <n v="0"/>
    <m/>
    <n v="0"/>
    <n v="1"/>
    <n v="1490"/>
    <n v="2"/>
    <x v="0"/>
    <n v="1"/>
    <n v="4"/>
    <n v="42"/>
    <n v="3"/>
    <n v="1"/>
    <n v="2"/>
    <n v="1702"/>
    <n v="12106"/>
    <n v="1"/>
    <n v="23"/>
    <n v="4"/>
    <n v="3"/>
    <n v="80"/>
    <n v="1"/>
    <n v="1"/>
    <n v="3"/>
    <n v="1"/>
    <n v="0"/>
    <n v="0"/>
    <n v="0"/>
  </r>
  <r>
    <s v="No"/>
    <s v="Travel_Rarely"/>
    <x v="0"/>
    <s v="Current Employees"/>
    <x v="0"/>
    <x v="0"/>
    <s v="STAFF-558"/>
    <n v="558"/>
    <x v="0"/>
    <x v="5"/>
    <x v="1"/>
    <s v="No"/>
    <s v="Y"/>
    <n v="2"/>
    <n v="-2"/>
    <n v="0"/>
    <n v="40"/>
    <n v="0"/>
    <m/>
    <n v="0"/>
    <n v="1"/>
    <n v="1398"/>
    <n v="2"/>
    <x v="2"/>
    <n v="1"/>
    <n v="3"/>
    <n v="79"/>
    <n v="3"/>
    <n v="5"/>
    <n v="2"/>
    <n v="18041"/>
    <n v="13022"/>
    <n v="0"/>
    <n v="14"/>
    <n v="3"/>
    <n v="4"/>
    <n v="80"/>
    <n v="0"/>
    <n v="21"/>
    <n v="3"/>
    <n v="20"/>
    <n v="15"/>
    <n v="1"/>
    <n v="12"/>
  </r>
  <r>
    <s v="No"/>
    <s v="Travel_Rarely"/>
    <x v="2"/>
    <s v="Current Employees"/>
    <x v="1"/>
    <x v="0"/>
    <s v="STAFF-560"/>
    <n v="560"/>
    <x v="0"/>
    <x v="1"/>
    <x v="2"/>
    <s v="No"/>
    <s v="Y"/>
    <n v="3"/>
    <n v="-2"/>
    <n v="0"/>
    <n v="26"/>
    <n v="0"/>
    <m/>
    <n v="0"/>
    <n v="1"/>
    <n v="1349"/>
    <n v="23"/>
    <x v="3"/>
    <n v="1"/>
    <n v="1"/>
    <n v="90"/>
    <n v="3"/>
    <n v="1"/>
    <n v="2"/>
    <n v="2886"/>
    <n v="3032"/>
    <n v="1"/>
    <n v="22"/>
    <n v="4"/>
    <n v="2"/>
    <n v="80"/>
    <n v="2"/>
    <n v="3"/>
    <n v="1"/>
    <n v="3"/>
    <n v="2"/>
    <n v="0"/>
    <n v="2"/>
  </r>
  <r>
    <s v="No"/>
    <s v="Non-Travel"/>
    <x v="2"/>
    <s v="Current Employees"/>
    <x v="1"/>
    <x v="0"/>
    <s v="STAFF-562"/>
    <n v="562"/>
    <x v="1"/>
    <x v="2"/>
    <x v="1"/>
    <s v="No"/>
    <s v="Y"/>
    <n v="3"/>
    <n v="-2"/>
    <n v="0"/>
    <n v="30"/>
    <n v="0"/>
    <m/>
    <n v="0"/>
    <n v="1"/>
    <n v="1400"/>
    <n v="3"/>
    <x v="3"/>
    <n v="1"/>
    <n v="3"/>
    <n v="53"/>
    <n v="3"/>
    <n v="1"/>
    <n v="2"/>
    <n v="2097"/>
    <n v="16734"/>
    <n v="4"/>
    <n v="15"/>
    <n v="3"/>
    <n v="3"/>
    <n v="80"/>
    <n v="1"/>
    <n v="9"/>
    <n v="1"/>
    <n v="5"/>
    <n v="3"/>
    <n v="1"/>
    <n v="4"/>
  </r>
  <r>
    <s v="No"/>
    <s v="Travel_Rarely"/>
    <x v="2"/>
    <s v="Current Employees"/>
    <x v="1"/>
    <x v="2"/>
    <s v="STAFF-564"/>
    <n v="564"/>
    <x v="1"/>
    <x v="7"/>
    <x v="1"/>
    <s v="No"/>
    <s v="Y"/>
    <n v="2"/>
    <n v="-2"/>
    <n v="0"/>
    <n v="29"/>
    <n v="0"/>
    <m/>
    <n v="0"/>
    <n v="1"/>
    <n v="986"/>
    <n v="3"/>
    <x v="2"/>
    <n v="1"/>
    <n v="2"/>
    <n v="93"/>
    <n v="2"/>
    <n v="3"/>
    <n v="3"/>
    <n v="11935"/>
    <n v="21526"/>
    <n v="1"/>
    <n v="18"/>
    <n v="3"/>
    <n v="3"/>
    <n v="80"/>
    <n v="0"/>
    <n v="10"/>
    <n v="3"/>
    <n v="10"/>
    <n v="2"/>
    <n v="0"/>
    <n v="7"/>
  </r>
  <r>
    <s v="Yes"/>
    <s v="Travel_Rarely"/>
    <x v="2"/>
    <s v="Ex-Employees"/>
    <x v="1"/>
    <x v="4"/>
    <s v="STAFF-565"/>
    <n v="565"/>
    <x v="0"/>
    <x v="1"/>
    <x v="1"/>
    <s v="No"/>
    <s v="Y"/>
    <n v="2"/>
    <n v="-2"/>
    <n v="0"/>
    <n v="29"/>
    <n v="1"/>
    <n v="1"/>
    <n v="1"/>
    <n v="0"/>
    <n v="408"/>
    <n v="25"/>
    <x v="4"/>
    <n v="1"/>
    <n v="4"/>
    <n v="71"/>
    <n v="2"/>
    <n v="1"/>
    <n v="4"/>
    <n v="2546"/>
    <n v="18300"/>
    <n v="5"/>
    <n v="16"/>
    <n v="3"/>
    <n v="2"/>
    <n v="80"/>
    <n v="0"/>
    <n v="6"/>
    <n v="4"/>
    <n v="2"/>
    <n v="2"/>
    <n v="1"/>
    <n v="1"/>
  </r>
  <r>
    <s v="Yes"/>
    <s v="Travel_Rarely"/>
    <x v="4"/>
    <s v="Ex-Employees"/>
    <x v="2"/>
    <x v="4"/>
    <s v="STAFF-566"/>
    <n v="566"/>
    <x v="1"/>
    <x v="8"/>
    <x v="0"/>
    <s v="No"/>
    <s v="Y"/>
    <n v="3"/>
    <n v="-2"/>
    <n v="0"/>
    <n v="19"/>
    <n v="1"/>
    <n v="1"/>
    <n v="1"/>
    <n v="0"/>
    <n v="489"/>
    <n v="2"/>
    <x v="0"/>
    <n v="1"/>
    <n v="4"/>
    <n v="52"/>
    <n v="2"/>
    <n v="1"/>
    <n v="4"/>
    <n v="2564"/>
    <n v="18437"/>
    <n v="1"/>
    <n v="12"/>
    <n v="3"/>
    <n v="3"/>
    <n v="80"/>
    <n v="0"/>
    <n v="1"/>
    <n v="4"/>
    <n v="1"/>
    <n v="0"/>
    <n v="0"/>
    <n v="0"/>
  </r>
  <r>
    <s v="No"/>
    <s v="Non-Travel"/>
    <x v="2"/>
    <s v="Current Employees"/>
    <x v="0"/>
    <x v="1"/>
    <s v="STAFF-567"/>
    <n v="567"/>
    <x v="0"/>
    <x v="0"/>
    <x v="1"/>
    <s v="No"/>
    <s v="Y"/>
    <n v="3"/>
    <n v="-2"/>
    <n v="0"/>
    <n v="30"/>
    <n v="0"/>
    <m/>
    <n v="0"/>
    <n v="1"/>
    <n v="1398"/>
    <n v="22"/>
    <x v="2"/>
    <n v="1"/>
    <n v="3"/>
    <n v="69"/>
    <n v="3"/>
    <n v="3"/>
    <n v="3"/>
    <n v="8412"/>
    <n v="2890"/>
    <n v="0"/>
    <n v="11"/>
    <n v="3"/>
    <n v="3"/>
    <n v="80"/>
    <n v="0"/>
    <n v="10"/>
    <n v="3"/>
    <n v="9"/>
    <n v="8"/>
    <n v="7"/>
    <n v="8"/>
  </r>
  <r>
    <s v="No"/>
    <s v="Travel_Rarely"/>
    <x v="3"/>
    <s v="Current Employees"/>
    <x v="0"/>
    <x v="3"/>
    <s v="STAFF-568"/>
    <n v="568"/>
    <x v="1"/>
    <x v="5"/>
    <x v="2"/>
    <s v="No"/>
    <s v="Y"/>
    <n v="3"/>
    <n v="-2"/>
    <n v="0"/>
    <n v="57"/>
    <n v="0"/>
    <m/>
    <n v="0"/>
    <n v="1"/>
    <n v="210"/>
    <n v="29"/>
    <x v="3"/>
    <n v="1"/>
    <n v="1"/>
    <n v="56"/>
    <n v="2"/>
    <n v="4"/>
    <n v="1"/>
    <n v="14118"/>
    <n v="22102"/>
    <n v="3"/>
    <n v="12"/>
    <n v="3"/>
    <n v="3"/>
    <n v="80"/>
    <n v="1"/>
    <n v="32"/>
    <n v="2"/>
    <n v="1"/>
    <n v="0"/>
    <n v="0"/>
    <n v="0"/>
  </r>
  <r>
    <s v="No"/>
    <s v="Travel_Rarely"/>
    <x v="1"/>
    <s v="Current Employees"/>
    <x v="1"/>
    <x v="0"/>
    <s v="STAFF-569"/>
    <n v="569"/>
    <x v="1"/>
    <x v="5"/>
    <x v="1"/>
    <s v="No"/>
    <s v="Y"/>
    <n v="2"/>
    <n v="-2"/>
    <n v="0"/>
    <n v="50"/>
    <n v="0"/>
    <m/>
    <n v="0"/>
    <n v="1"/>
    <n v="1099"/>
    <n v="29"/>
    <x v="2"/>
    <n v="1"/>
    <n v="2"/>
    <n v="88"/>
    <n v="2"/>
    <n v="4"/>
    <n v="2"/>
    <n v="17046"/>
    <n v="9314"/>
    <n v="0"/>
    <n v="15"/>
    <n v="3"/>
    <n v="2"/>
    <n v="80"/>
    <n v="1"/>
    <n v="28"/>
    <n v="3"/>
    <n v="27"/>
    <n v="10"/>
    <n v="15"/>
    <n v="7"/>
  </r>
  <r>
    <s v="No"/>
    <s v="Non-Travel"/>
    <x v="2"/>
    <s v="Current Employees"/>
    <x v="1"/>
    <x v="2"/>
    <s v="STAFF-571"/>
    <n v="571"/>
    <x v="0"/>
    <x v="2"/>
    <x v="0"/>
    <s v="No"/>
    <s v="Y"/>
    <n v="2"/>
    <n v="-2"/>
    <n v="0"/>
    <n v="30"/>
    <n v="0"/>
    <m/>
    <n v="0"/>
    <n v="1"/>
    <n v="1116"/>
    <n v="2"/>
    <x v="3"/>
    <n v="1"/>
    <n v="3"/>
    <n v="49"/>
    <n v="3"/>
    <n v="1"/>
    <n v="4"/>
    <n v="2564"/>
    <n v="7181"/>
    <n v="0"/>
    <n v="14"/>
    <n v="3"/>
    <n v="3"/>
    <n v="80"/>
    <n v="0"/>
    <n v="12"/>
    <n v="2"/>
    <n v="11"/>
    <n v="7"/>
    <n v="6"/>
    <n v="7"/>
  </r>
  <r>
    <s v="No"/>
    <s v="Travel_Frequently"/>
    <x v="3"/>
    <s v="Current Employees"/>
    <x v="0"/>
    <x v="3"/>
    <s v="STAFF-573"/>
    <n v="573"/>
    <x v="0"/>
    <x v="0"/>
    <x v="1"/>
    <s v="No"/>
    <s v="Y"/>
    <n v="5"/>
    <n v="-2"/>
    <n v="0"/>
    <n v="60"/>
    <n v="0"/>
    <m/>
    <n v="0"/>
    <n v="1"/>
    <n v="1499"/>
    <n v="28"/>
    <x v="3"/>
    <n v="1"/>
    <n v="3"/>
    <n v="80"/>
    <n v="2"/>
    <n v="3"/>
    <n v="1"/>
    <n v="10266"/>
    <n v="2845"/>
    <n v="4"/>
    <n v="19"/>
    <n v="3"/>
    <n v="4"/>
    <n v="80"/>
    <n v="0"/>
    <n v="22"/>
    <n v="4"/>
    <n v="18"/>
    <n v="13"/>
    <n v="13"/>
    <n v="11"/>
  </r>
  <r>
    <s v="No"/>
    <s v="Travel_Rarely"/>
    <x v="1"/>
    <s v="Current Employees"/>
    <x v="1"/>
    <x v="2"/>
    <s v="STAFF-574"/>
    <n v="574"/>
    <x v="0"/>
    <x v="3"/>
    <x v="2"/>
    <s v="No"/>
    <s v="Y"/>
    <n v="2"/>
    <n v="-2"/>
    <n v="0"/>
    <n v="47"/>
    <n v="0"/>
    <m/>
    <n v="0"/>
    <n v="1"/>
    <n v="983"/>
    <n v="2"/>
    <x v="0"/>
    <n v="1"/>
    <n v="1"/>
    <n v="65"/>
    <n v="3"/>
    <n v="2"/>
    <n v="4"/>
    <n v="5070"/>
    <n v="7389"/>
    <n v="5"/>
    <n v="13"/>
    <n v="3"/>
    <n v="3"/>
    <n v="80"/>
    <n v="3"/>
    <n v="20"/>
    <n v="3"/>
    <n v="5"/>
    <n v="0"/>
    <n v="0"/>
    <n v="4"/>
  </r>
  <r>
    <s v="No"/>
    <s v="Travel_Rarely"/>
    <x v="1"/>
    <s v="Current Employees"/>
    <x v="1"/>
    <x v="0"/>
    <s v="STAFF-575"/>
    <n v="575"/>
    <x v="1"/>
    <x v="7"/>
    <x v="1"/>
    <s v="No"/>
    <s v="Y"/>
    <n v="2"/>
    <n v="-2"/>
    <n v="0"/>
    <n v="46"/>
    <n v="0"/>
    <m/>
    <n v="0"/>
    <n v="1"/>
    <n v="1009"/>
    <n v="2"/>
    <x v="3"/>
    <n v="1"/>
    <n v="1"/>
    <n v="51"/>
    <n v="3"/>
    <n v="4"/>
    <n v="2"/>
    <n v="17861"/>
    <n v="2288"/>
    <n v="6"/>
    <n v="13"/>
    <n v="3"/>
    <n v="3"/>
    <n v="80"/>
    <n v="0"/>
    <n v="26"/>
    <n v="1"/>
    <n v="3"/>
    <n v="2"/>
    <n v="0"/>
    <n v="1"/>
  </r>
  <r>
    <s v="No"/>
    <s v="Travel_Rarely"/>
    <x v="0"/>
    <s v="Current Employees"/>
    <x v="1"/>
    <x v="0"/>
    <s v="STAFF-577"/>
    <n v="577"/>
    <x v="1"/>
    <x v="2"/>
    <x v="0"/>
    <s v="No"/>
    <s v="Y"/>
    <n v="2"/>
    <n v="-2"/>
    <n v="0"/>
    <n v="35"/>
    <n v="0"/>
    <m/>
    <n v="0"/>
    <n v="1"/>
    <n v="144"/>
    <n v="22"/>
    <x v="3"/>
    <n v="1"/>
    <n v="4"/>
    <n v="46"/>
    <n v="1"/>
    <n v="1"/>
    <n v="2"/>
    <n v="4230"/>
    <n v="19225"/>
    <n v="0"/>
    <n v="15"/>
    <n v="3"/>
    <n v="3"/>
    <n v="80"/>
    <n v="0"/>
    <n v="6"/>
    <n v="3"/>
    <n v="5"/>
    <n v="4"/>
    <n v="4"/>
    <n v="3"/>
  </r>
  <r>
    <s v="No"/>
    <s v="Travel_Rarely"/>
    <x v="1"/>
    <s v="Current Employees"/>
    <x v="1"/>
    <x v="0"/>
    <s v="STAFF-578"/>
    <n v="578"/>
    <x v="0"/>
    <x v="2"/>
    <x v="0"/>
    <s v="No"/>
    <s v="Y"/>
    <n v="3"/>
    <n v="-2"/>
    <n v="0"/>
    <n v="54"/>
    <n v="0"/>
    <m/>
    <n v="0"/>
    <n v="1"/>
    <n v="548"/>
    <n v="8"/>
    <x v="2"/>
    <n v="1"/>
    <n v="3"/>
    <n v="42"/>
    <n v="3"/>
    <n v="2"/>
    <n v="2"/>
    <n v="3780"/>
    <n v="23428"/>
    <n v="7"/>
    <n v="11"/>
    <n v="3"/>
    <n v="3"/>
    <n v="80"/>
    <n v="0"/>
    <n v="19"/>
    <n v="3"/>
    <n v="1"/>
    <n v="0"/>
    <n v="0"/>
    <n v="0"/>
  </r>
  <r>
    <s v="No"/>
    <s v="Travel_Rarely"/>
    <x v="2"/>
    <s v="Current Employees"/>
    <x v="1"/>
    <x v="0"/>
    <s v="STAFF-579"/>
    <n v="579"/>
    <x v="1"/>
    <x v="1"/>
    <x v="2"/>
    <s v="No"/>
    <s v="Y"/>
    <n v="3"/>
    <n v="-2"/>
    <n v="0"/>
    <n v="34"/>
    <n v="0"/>
    <m/>
    <n v="0"/>
    <n v="1"/>
    <n v="1303"/>
    <n v="2"/>
    <x v="2"/>
    <n v="1"/>
    <n v="4"/>
    <n v="62"/>
    <n v="2"/>
    <n v="1"/>
    <n v="2"/>
    <n v="2768"/>
    <n v="8416"/>
    <n v="3"/>
    <n v="12"/>
    <n v="3"/>
    <n v="3"/>
    <n v="80"/>
    <n v="1"/>
    <n v="14"/>
    <n v="3"/>
    <n v="7"/>
    <n v="3"/>
    <n v="5"/>
    <n v="7"/>
  </r>
  <r>
    <s v="No"/>
    <s v="Travel_Rarely"/>
    <x v="1"/>
    <s v="Current Employees"/>
    <x v="0"/>
    <x v="3"/>
    <s v="STAFF-580"/>
    <n v="580"/>
    <x v="0"/>
    <x v="0"/>
    <x v="1"/>
    <s v="Yes"/>
    <s v="Y"/>
    <n v="3"/>
    <n v="-2"/>
    <n v="0"/>
    <n v="46"/>
    <n v="0"/>
    <m/>
    <n v="0"/>
    <n v="1"/>
    <n v="1125"/>
    <n v="10"/>
    <x v="3"/>
    <n v="1"/>
    <n v="3"/>
    <n v="94"/>
    <n v="2"/>
    <n v="3"/>
    <n v="1"/>
    <n v="9071"/>
    <n v="11563"/>
    <n v="2"/>
    <n v="19"/>
    <n v="3"/>
    <n v="3"/>
    <n v="80"/>
    <n v="1"/>
    <n v="15"/>
    <n v="3"/>
    <n v="3"/>
    <n v="2"/>
    <n v="1"/>
    <n v="2"/>
  </r>
  <r>
    <s v="No"/>
    <s v="Travel_Rarely"/>
    <x v="2"/>
    <s v="Current Employees"/>
    <x v="1"/>
    <x v="0"/>
    <s v="STAFF-581"/>
    <n v="581"/>
    <x v="1"/>
    <x v="3"/>
    <x v="2"/>
    <s v="No"/>
    <s v="Y"/>
    <n v="6"/>
    <n v="-2"/>
    <n v="0"/>
    <n v="31"/>
    <n v="0"/>
    <m/>
    <n v="0"/>
    <n v="1"/>
    <n v="1274"/>
    <n v="9"/>
    <x v="1"/>
    <n v="1"/>
    <n v="3"/>
    <n v="33"/>
    <n v="3"/>
    <n v="3"/>
    <n v="2"/>
    <n v="10648"/>
    <n v="14394"/>
    <n v="1"/>
    <n v="25"/>
    <n v="4"/>
    <n v="4"/>
    <n v="80"/>
    <n v="1"/>
    <n v="13"/>
    <n v="4"/>
    <n v="13"/>
    <n v="8"/>
    <n v="0"/>
    <n v="8"/>
  </r>
  <r>
    <s v="Yes"/>
    <s v="Travel_Rarely"/>
    <x v="2"/>
    <s v="Ex-Employees"/>
    <x v="1"/>
    <x v="2"/>
    <s v="STAFF-582"/>
    <n v="582"/>
    <x v="1"/>
    <x v="5"/>
    <x v="1"/>
    <s v="Yes"/>
    <s v="Y"/>
    <n v="2"/>
    <n v="-2"/>
    <n v="0"/>
    <n v="33"/>
    <n v="1"/>
    <n v="1"/>
    <n v="1"/>
    <n v="0"/>
    <n v="1277"/>
    <n v="15"/>
    <x v="1"/>
    <n v="1"/>
    <n v="2"/>
    <n v="56"/>
    <n v="3"/>
    <n v="3"/>
    <n v="3"/>
    <n v="13610"/>
    <n v="24619"/>
    <n v="7"/>
    <n v="12"/>
    <n v="3"/>
    <n v="4"/>
    <n v="80"/>
    <n v="0"/>
    <n v="15"/>
    <n v="4"/>
    <n v="7"/>
    <n v="6"/>
    <n v="7"/>
    <n v="7"/>
  </r>
  <r>
    <s v="Yes"/>
    <s v="Travel_Rarely"/>
    <x v="2"/>
    <s v="Ex-Employees"/>
    <x v="1"/>
    <x v="2"/>
    <s v="STAFF-584"/>
    <n v="584"/>
    <x v="1"/>
    <x v="2"/>
    <x v="2"/>
    <s v="No"/>
    <s v="Y"/>
    <n v="2"/>
    <n v="-2"/>
    <n v="0"/>
    <n v="33"/>
    <n v="1"/>
    <n v="1"/>
    <n v="1"/>
    <n v="0"/>
    <n v="587"/>
    <n v="10"/>
    <x v="1"/>
    <n v="1"/>
    <n v="1"/>
    <n v="38"/>
    <n v="1"/>
    <n v="1"/>
    <n v="4"/>
    <n v="3408"/>
    <n v="6705"/>
    <n v="7"/>
    <n v="13"/>
    <n v="3"/>
    <n v="1"/>
    <n v="80"/>
    <n v="3"/>
    <n v="8"/>
    <n v="3"/>
    <n v="4"/>
    <n v="3"/>
    <n v="1"/>
    <n v="3"/>
  </r>
  <r>
    <s v="No"/>
    <s v="Travel_Rarely"/>
    <x v="2"/>
    <s v="Current Employees"/>
    <x v="0"/>
    <x v="3"/>
    <s v="STAFF-585"/>
    <n v="585"/>
    <x v="1"/>
    <x v="6"/>
    <x v="0"/>
    <s v="No"/>
    <s v="Y"/>
    <n v="3"/>
    <n v="-2"/>
    <n v="0"/>
    <n v="30"/>
    <n v="0"/>
    <m/>
    <n v="0"/>
    <n v="1"/>
    <n v="413"/>
    <n v="7"/>
    <x v="1"/>
    <n v="1"/>
    <n v="4"/>
    <n v="57"/>
    <n v="3"/>
    <n v="1"/>
    <n v="1"/>
    <n v="2983"/>
    <n v="18398"/>
    <n v="0"/>
    <n v="14"/>
    <n v="3"/>
    <n v="1"/>
    <n v="80"/>
    <n v="0"/>
    <n v="4"/>
    <n v="3"/>
    <n v="3"/>
    <n v="2"/>
    <n v="1"/>
    <n v="2"/>
  </r>
  <r>
    <s v="No"/>
    <s v="Travel_Rarely"/>
    <x v="0"/>
    <s v="Current Employees"/>
    <x v="1"/>
    <x v="0"/>
    <s v="STAFF-586"/>
    <n v="586"/>
    <x v="1"/>
    <x v="4"/>
    <x v="1"/>
    <s v="Yes"/>
    <s v="Y"/>
    <n v="2"/>
    <n v="-2"/>
    <n v="0"/>
    <n v="35"/>
    <n v="0"/>
    <m/>
    <n v="0"/>
    <n v="1"/>
    <n v="1276"/>
    <n v="16"/>
    <x v="3"/>
    <n v="1"/>
    <n v="4"/>
    <n v="72"/>
    <n v="3"/>
    <n v="3"/>
    <n v="2"/>
    <n v="7632"/>
    <n v="14295"/>
    <n v="4"/>
    <n v="12"/>
    <n v="3"/>
    <n v="3"/>
    <n v="80"/>
    <n v="0"/>
    <n v="10"/>
    <n v="3"/>
    <n v="8"/>
    <n v="7"/>
    <n v="0"/>
    <n v="0"/>
  </r>
  <r>
    <s v="Yes"/>
    <s v="Travel_Frequently"/>
    <x v="2"/>
    <s v="Ex-Employees"/>
    <x v="1"/>
    <x v="0"/>
    <s v="STAFF-587"/>
    <n v="587"/>
    <x v="1"/>
    <x v="4"/>
    <x v="1"/>
    <s v="No"/>
    <s v="Y"/>
    <n v="2"/>
    <n v="-2"/>
    <n v="0"/>
    <n v="31"/>
    <n v="1"/>
    <n v="1"/>
    <n v="1"/>
    <n v="0"/>
    <n v="534"/>
    <n v="20"/>
    <x v="3"/>
    <n v="1"/>
    <n v="1"/>
    <n v="66"/>
    <n v="3"/>
    <n v="3"/>
    <n v="2"/>
    <n v="9824"/>
    <n v="22908"/>
    <n v="3"/>
    <n v="12"/>
    <n v="3"/>
    <n v="1"/>
    <n v="80"/>
    <n v="0"/>
    <n v="12"/>
    <n v="3"/>
    <n v="1"/>
    <n v="0"/>
    <n v="0"/>
    <n v="0"/>
  </r>
  <r>
    <s v="Yes"/>
    <s v="Travel_Frequently"/>
    <x v="2"/>
    <s v="Ex-Employees"/>
    <x v="2"/>
    <x v="5"/>
    <s v="STAFF-590"/>
    <n v="590"/>
    <x v="0"/>
    <x v="8"/>
    <x v="2"/>
    <s v="Yes"/>
    <s v="Y"/>
    <n v="2"/>
    <n v="-2"/>
    <n v="0"/>
    <n v="34"/>
    <n v="1"/>
    <n v="1"/>
    <n v="1"/>
    <n v="0"/>
    <n v="988"/>
    <n v="23"/>
    <x v="3"/>
    <n v="1"/>
    <n v="2"/>
    <n v="43"/>
    <n v="3"/>
    <n v="3"/>
    <n v="3"/>
    <n v="9950"/>
    <n v="11533"/>
    <n v="9"/>
    <n v="15"/>
    <n v="3"/>
    <n v="3"/>
    <n v="80"/>
    <n v="3"/>
    <n v="11"/>
    <n v="3"/>
    <n v="3"/>
    <n v="2"/>
    <n v="0"/>
    <n v="2"/>
  </r>
  <r>
    <s v="No"/>
    <s v="Travel_Frequently"/>
    <x v="0"/>
    <s v="Current Employees"/>
    <x v="1"/>
    <x v="1"/>
    <s v="STAFF-591"/>
    <n v="591"/>
    <x v="1"/>
    <x v="2"/>
    <x v="1"/>
    <s v="No"/>
    <s v="Y"/>
    <n v="4"/>
    <n v="-2"/>
    <n v="0"/>
    <n v="42"/>
    <n v="0"/>
    <m/>
    <n v="0"/>
    <n v="1"/>
    <n v="1474"/>
    <n v="5"/>
    <x v="0"/>
    <n v="1"/>
    <n v="2"/>
    <n v="97"/>
    <n v="3"/>
    <n v="1"/>
    <n v="3"/>
    <n v="2093"/>
    <n v="9260"/>
    <n v="4"/>
    <n v="17"/>
    <n v="3"/>
    <n v="4"/>
    <n v="80"/>
    <n v="1"/>
    <n v="8"/>
    <n v="3"/>
    <n v="2"/>
    <n v="2"/>
    <n v="2"/>
    <n v="0"/>
  </r>
  <r>
    <s v="No"/>
    <s v="Non-Travel"/>
    <x v="0"/>
    <s v="Current Employees"/>
    <x v="0"/>
    <x v="2"/>
    <s v="STAFF-592"/>
    <n v="592"/>
    <x v="1"/>
    <x v="0"/>
    <x v="0"/>
    <s v="No"/>
    <s v="Y"/>
    <n v="3"/>
    <n v="-2"/>
    <n v="0"/>
    <n v="36"/>
    <n v="0"/>
    <m/>
    <n v="0"/>
    <n v="1"/>
    <n v="635"/>
    <n v="10"/>
    <x v="2"/>
    <n v="1"/>
    <n v="2"/>
    <n v="32"/>
    <n v="3"/>
    <n v="3"/>
    <n v="4"/>
    <n v="9980"/>
    <n v="15318"/>
    <n v="1"/>
    <n v="14"/>
    <n v="3"/>
    <n v="4"/>
    <n v="80"/>
    <n v="0"/>
    <n v="10"/>
    <n v="2"/>
    <n v="10"/>
    <n v="3"/>
    <n v="9"/>
    <n v="7"/>
  </r>
  <r>
    <s v="Yes"/>
    <s v="Travel_Frequently"/>
    <x v="4"/>
    <s v="Ex-Employees"/>
    <x v="1"/>
    <x v="4"/>
    <s v="STAFF-593"/>
    <n v="593"/>
    <x v="1"/>
    <x v="2"/>
    <x v="0"/>
    <s v="No"/>
    <s v="Y"/>
    <n v="3"/>
    <n v="-2"/>
    <n v="0"/>
    <n v="22"/>
    <n v="1"/>
    <n v="1"/>
    <n v="1"/>
    <n v="0"/>
    <n v="1368"/>
    <n v="4"/>
    <x v="1"/>
    <n v="1"/>
    <n v="4"/>
    <n v="99"/>
    <n v="2"/>
    <n v="1"/>
    <n v="4"/>
    <n v="3894"/>
    <n v="9129"/>
    <n v="5"/>
    <n v="16"/>
    <n v="3"/>
    <n v="3"/>
    <n v="80"/>
    <n v="0"/>
    <n v="4"/>
    <n v="3"/>
    <n v="2"/>
    <n v="2"/>
    <n v="1"/>
    <n v="2"/>
  </r>
  <r>
    <s v="No"/>
    <s v="Travel_Rarely"/>
    <x v="1"/>
    <s v="Current Employees"/>
    <x v="0"/>
    <x v="3"/>
    <s v="STAFF-595"/>
    <n v="595"/>
    <x v="0"/>
    <x v="0"/>
    <x v="1"/>
    <s v="No"/>
    <s v="Y"/>
    <n v="2"/>
    <n v="-2"/>
    <n v="0"/>
    <n v="48"/>
    <n v="0"/>
    <m/>
    <n v="0"/>
    <n v="1"/>
    <n v="163"/>
    <n v="2"/>
    <x v="4"/>
    <n v="1"/>
    <n v="2"/>
    <n v="37"/>
    <n v="3"/>
    <n v="2"/>
    <n v="1"/>
    <n v="4051"/>
    <n v="19658"/>
    <n v="2"/>
    <n v="14"/>
    <n v="3"/>
    <n v="1"/>
    <n v="80"/>
    <n v="1"/>
    <n v="14"/>
    <n v="3"/>
    <n v="9"/>
    <n v="7"/>
    <n v="6"/>
    <n v="7"/>
  </r>
  <r>
    <s v="No"/>
    <s v="Travel_Rarely"/>
    <x v="3"/>
    <s v="Current Employees"/>
    <x v="0"/>
    <x v="0"/>
    <s v="STAFF-597"/>
    <n v="597"/>
    <x v="0"/>
    <x v="5"/>
    <x v="0"/>
    <s v="No"/>
    <s v="Y"/>
    <n v="2"/>
    <n v="-2"/>
    <n v="0"/>
    <n v="55"/>
    <n v="0"/>
    <m/>
    <n v="0"/>
    <n v="1"/>
    <n v="1117"/>
    <n v="18"/>
    <x v="4"/>
    <n v="1"/>
    <n v="1"/>
    <n v="83"/>
    <n v="3"/>
    <n v="4"/>
    <n v="2"/>
    <n v="16835"/>
    <n v="9873"/>
    <n v="3"/>
    <n v="23"/>
    <n v="4"/>
    <n v="4"/>
    <n v="80"/>
    <n v="0"/>
    <n v="37"/>
    <n v="3"/>
    <n v="10"/>
    <n v="9"/>
    <n v="7"/>
    <n v="7"/>
  </r>
  <r>
    <s v="No"/>
    <s v="Non-Travel"/>
    <x v="0"/>
    <s v="Current Employees"/>
    <x v="0"/>
    <x v="0"/>
    <s v="STAFF-599"/>
    <n v="599"/>
    <x v="1"/>
    <x v="0"/>
    <x v="0"/>
    <s v="No"/>
    <s v="Y"/>
    <n v="3"/>
    <n v="-2"/>
    <n v="0"/>
    <n v="41"/>
    <n v="0"/>
    <m/>
    <n v="0"/>
    <n v="1"/>
    <n v="267"/>
    <n v="10"/>
    <x v="0"/>
    <n v="1"/>
    <n v="4"/>
    <n v="56"/>
    <n v="3"/>
    <n v="2"/>
    <n v="2"/>
    <n v="6230"/>
    <n v="13430"/>
    <n v="7"/>
    <n v="14"/>
    <n v="3"/>
    <n v="4"/>
    <n v="80"/>
    <n v="0"/>
    <n v="16"/>
    <n v="3"/>
    <n v="14"/>
    <n v="3"/>
    <n v="1"/>
    <n v="10"/>
  </r>
  <r>
    <s v="No"/>
    <s v="Travel_Rarely"/>
    <x v="0"/>
    <s v="Current Employees"/>
    <x v="0"/>
    <x v="3"/>
    <s v="STAFF-600"/>
    <n v="600"/>
    <x v="1"/>
    <x v="0"/>
    <x v="1"/>
    <s v="No"/>
    <s v="Y"/>
    <n v="2"/>
    <n v="-2"/>
    <n v="0"/>
    <n v="35"/>
    <n v="0"/>
    <m/>
    <n v="0"/>
    <n v="1"/>
    <n v="619"/>
    <n v="1"/>
    <x v="3"/>
    <n v="1"/>
    <n v="2"/>
    <n v="85"/>
    <n v="3"/>
    <n v="2"/>
    <n v="1"/>
    <n v="4717"/>
    <n v="18659"/>
    <n v="9"/>
    <n v="11"/>
    <n v="3"/>
    <n v="3"/>
    <n v="80"/>
    <n v="0"/>
    <n v="15"/>
    <n v="3"/>
    <n v="11"/>
    <n v="9"/>
    <n v="6"/>
    <n v="9"/>
  </r>
  <r>
    <s v="No"/>
    <s v="Travel_Rarely"/>
    <x v="0"/>
    <s v="Current Employees"/>
    <x v="1"/>
    <x v="0"/>
    <s v="STAFF-601"/>
    <n v="601"/>
    <x v="0"/>
    <x v="3"/>
    <x v="0"/>
    <s v="No"/>
    <s v="Y"/>
    <n v="3"/>
    <n v="-2"/>
    <n v="0"/>
    <n v="40"/>
    <n v="0"/>
    <m/>
    <n v="0"/>
    <n v="1"/>
    <n v="302"/>
    <n v="6"/>
    <x v="3"/>
    <n v="1"/>
    <n v="2"/>
    <n v="75"/>
    <n v="3"/>
    <n v="4"/>
    <n v="2"/>
    <n v="13237"/>
    <n v="20364"/>
    <n v="7"/>
    <n v="15"/>
    <n v="3"/>
    <n v="3"/>
    <n v="80"/>
    <n v="0"/>
    <n v="22"/>
    <n v="3"/>
    <n v="20"/>
    <n v="6"/>
    <n v="5"/>
    <n v="13"/>
  </r>
  <r>
    <s v="No"/>
    <s v="Travel_Frequently"/>
    <x v="0"/>
    <s v="Current Employees"/>
    <x v="1"/>
    <x v="0"/>
    <s v="STAFF-602"/>
    <n v="602"/>
    <x v="0"/>
    <x v="2"/>
    <x v="1"/>
    <s v="No"/>
    <s v="Y"/>
    <n v="3"/>
    <n v="-2"/>
    <n v="0"/>
    <n v="39"/>
    <n v="0"/>
    <m/>
    <n v="0"/>
    <n v="1"/>
    <n v="443"/>
    <n v="8"/>
    <x v="1"/>
    <n v="1"/>
    <n v="3"/>
    <n v="48"/>
    <n v="3"/>
    <n v="1"/>
    <n v="2"/>
    <n v="3755"/>
    <n v="17872"/>
    <n v="1"/>
    <n v="11"/>
    <n v="3"/>
    <n v="1"/>
    <n v="80"/>
    <n v="1"/>
    <n v="8"/>
    <n v="3"/>
    <n v="8"/>
    <n v="3"/>
    <n v="0"/>
    <n v="7"/>
  </r>
  <r>
    <s v="No"/>
    <s v="Travel_Rarely"/>
    <x v="2"/>
    <s v="Current Employees"/>
    <x v="0"/>
    <x v="0"/>
    <s v="STAFF-604"/>
    <n v="604"/>
    <x v="1"/>
    <x v="0"/>
    <x v="0"/>
    <s v="Yes"/>
    <s v="Y"/>
    <n v="2"/>
    <n v="-2"/>
    <n v="0"/>
    <n v="31"/>
    <n v="0"/>
    <m/>
    <n v="0"/>
    <n v="1"/>
    <n v="828"/>
    <n v="2"/>
    <x v="1"/>
    <n v="1"/>
    <n v="2"/>
    <n v="77"/>
    <n v="3"/>
    <n v="2"/>
    <n v="2"/>
    <n v="6582"/>
    <n v="8346"/>
    <n v="4"/>
    <n v="13"/>
    <n v="3"/>
    <n v="3"/>
    <n v="80"/>
    <n v="0"/>
    <n v="10"/>
    <n v="4"/>
    <n v="6"/>
    <n v="5"/>
    <n v="0"/>
    <n v="5"/>
  </r>
  <r>
    <s v="No"/>
    <s v="Travel_Rarely"/>
    <x v="0"/>
    <s v="Current Employees"/>
    <x v="1"/>
    <x v="2"/>
    <s v="STAFF-605"/>
    <n v="605"/>
    <x v="1"/>
    <x v="3"/>
    <x v="1"/>
    <s v="Yes"/>
    <s v="Y"/>
    <n v="5"/>
    <n v="-2"/>
    <n v="0"/>
    <n v="42"/>
    <n v="0"/>
    <m/>
    <n v="0"/>
    <n v="1"/>
    <n v="319"/>
    <n v="24"/>
    <x v="3"/>
    <n v="1"/>
    <n v="4"/>
    <n v="56"/>
    <n v="3"/>
    <n v="3"/>
    <n v="3"/>
    <n v="7406"/>
    <n v="6950"/>
    <n v="1"/>
    <n v="21"/>
    <n v="4"/>
    <n v="4"/>
    <n v="80"/>
    <n v="1"/>
    <n v="10"/>
    <n v="2"/>
    <n v="10"/>
    <n v="9"/>
    <n v="5"/>
    <n v="8"/>
  </r>
  <r>
    <s v="No"/>
    <s v="Travel_Rarely"/>
    <x v="1"/>
    <s v="Current Employees"/>
    <x v="0"/>
    <x v="1"/>
    <s v="STAFF-606"/>
    <n v="606"/>
    <x v="1"/>
    <x v="0"/>
    <x v="1"/>
    <s v="No"/>
    <s v="Y"/>
    <n v="3"/>
    <n v="-2"/>
    <n v="0"/>
    <n v="45"/>
    <n v="0"/>
    <m/>
    <n v="0"/>
    <n v="1"/>
    <n v="561"/>
    <n v="2"/>
    <x v="3"/>
    <n v="1"/>
    <n v="4"/>
    <n v="61"/>
    <n v="3"/>
    <n v="2"/>
    <n v="3"/>
    <n v="4805"/>
    <n v="16177"/>
    <n v="0"/>
    <n v="19"/>
    <n v="3"/>
    <n v="2"/>
    <n v="80"/>
    <n v="1"/>
    <n v="9"/>
    <n v="4"/>
    <n v="8"/>
    <n v="7"/>
    <n v="3"/>
    <n v="7"/>
  </r>
  <r>
    <s v="Yes"/>
    <s v="Travel_Frequently"/>
    <x v="2"/>
    <s v="Ex-Employees"/>
    <x v="2"/>
    <x v="0"/>
    <s v="STAFF-608"/>
    <n v="608"/>
    <x v="0"/>
    <x v="8"/>
    <x v="2"/>
    <s v="Yes"/>
    <s v="Y"/>
    <n v="2"/>
    <n v="-2"/>
    <n v="0"/>
    <n v="26"/>
    <n v="1"/>
    <n v="1"/>
    <n v="1"/>
    <n v="0"/>
    <n v="426"/>
    <n v="17"/>
    <x v="2"/>
    <n v="1"/>
    <n v="2"/>
    <n v="58"/>
    <n v="3"/>
    <n v="1"/>
    <n v="2"/>
    <n v="2741"/>
    <n v="22808"/>
    <n v="0"/>
    <n v="11"/>
    <n v="3"/>
    <n v="2"/>
    <n v="80"/>
    <n v="1"/>
    <n v="8"/>
    <n v="2"/>
    <n v="7"/>
    <n v="7"/>
    <n v="1"/>
    <n v="0"/>
  </r>
  <r>
    <s v="No"/>
    <s v="Travel_Rarely"/>
    <x v="2"/>
    <s v="Current Employees"/>
    <x v="1"/>
    <x v="4"/>
    <s v="STAFF-611"/>
    <n v="611"/>
    <x v="1"/>
    <x v="3"/>
    <x v="2"/>
    <s v="No"/>
    <s v="Y"/>
    <n v="2"/>
    <n v="-2"/>
    <n v="0"/>
    <n v="29"/>
    <n v="0"/>
    <m/>
    <n v="0"/>
    <n v="1"/>
    <n v="232"/>
    <n v="19"/>
    <x v="3"/>
    <n v="1"/>
    <n v="4"/>
    <n v="34"/>
    <n v="3"/>
    <n v="2"/>
    <n v="4"/>
    <n v="4262"/>
    <n v="22645"/>
    <n v="4"/>
    <n v="12"/>
    <n v="3"/>
    <n v="2"/>
    <n v="80"/>
    <n v="2"/>
    <n v="8"/>
    <n v="4"/>
    <n v="3"/>
    <n v="2"/>
    <n v="1"/>
    <n v="2"/>
  </r>
  <r>
    <s v="No"/>
    <s v="Travel_Rarely"/>
    <x v="2"/>
    <s v="Current Employees"/>
    <x v="1"/>
    <x v="2"/>
    <s v="STAFF-612"/>
    <n v="612"/>
    <x v="0"/>
    <x v="7"/>
    <x v="2"/>
    <s v="No"/>
    <s v="Y"/>
    <n v="2"/>
    <n v="-2"/>
    <n v="0"/>
    <n v="33"/>
    <n v="0"/>
    <m/>
    <n v="0"/>
    <n v="1"/>
    <n v="922"/>
    <n v="1"/>
    <x v="4"/>
    <n v="1"/>
    <n v="1"/>
    <n v="95"/>
    <n v="4"/>
    <n v="4"/>
    <n v="3"/>
    <n v="16184"/>
    <n v="22578"/>
    <n v="4"/>
    <n v="19"/>
    <n v="3"/>
    <n v="3"/>
    <n v="80"/>
    <n v="1"/>
    <n v="10"/>
    <n v="3"/>
    <n v="6"/>
    <n v="1"/>
    <n v="0"/>
    <n v="5"/>
  </r>
  <r>
    <s v="No"/>
    <s v="Travel_Rarely"/>
    <x v="2"/>
    <s v="Current Employees"/>
    <x v="0"/>
    <x v="0"/>
    <s v="STAFF-613"/>
    <n v="613"/>
    <x v="1"/>
    <x v="5"/>
    <x v="2"/>
    <s v="No"/>
    <s v="Y"/>
    <n v="3"/>
    <n v="-2"/>
    <n v="0"/>
    <n v="31"/>
    <n v="0"/>
    <m/>
    <n v="0"/>
    <n v="1"/>
    <n v="688"/>
    <n v="7"/>
    <x v="3"/>
    <n v="1"/>
    <n v="3"/>
    <n v="44"/>
    <n v="2"/>
    <n v="3"/>
    <n v="2"/>
    <n v="11557"/>
    <n v="25291"/>
    <n v="9"/>
    <n v="21"/>
    <n v="4"/>
    <n v="3"/>
    <n v="80"/>
    <n v="1"/>
    <n v="10"/>
    <n v="2"/>
    <n v="5"/>
    <n v="4"/>
    <n v="0"/>
    <n v="1"/>
  </r>
  <r>
    <s v="Yes"/>
    <s v="Travel_Frequently"/>
    <x v="4"/>
    <s v="Ex-Employees"/>
    <x v="0"/>
    <x v="3"/>
    <s v="STAFF-614"/>
    <n v="614"/>
    <x v="1"/>
    <x v="6"/>
    <x v="0"/>
    <s v="Yes"/>
    <s v="Y"/>
    <n v="3"/>
    <n v="-2"/>
    <n v="0"/>
    <n v="18"/>
    <n v="1"/>
    <n v="1"/>
    <n v="1"/>
    <n v="0"/>
    <n v="1306"/>
    <n v="5"/>
    <x v="3"/>
    <n v="1"/>
    <n v="2"/>
    <n v="69"/>
    <n v="3"/>
    <n v="1"/>
    <n v="1"/>
    <n v="1878"/>
    <n v="8059"/>
    <n v="1"/>
    <n v="14"/>
    <n v="3"/>
    <n v="4"/>
    <n v="80"/>
    <n v="0"/>
    <n v="0"/>
    <n v="3"/>
    <n v="0"/>
    <n v="0"/>
    <n v="0"/>
    <n v="0"/>
  </r>
  <r>
    <s v="No"/>
    <s v="Non-Travel"/>
    <x v="0"/>
    <s v="Current Employees"/>
    <x v="0"/>
    <x v="1"/>
    <s v="STAFF-615"/>
    <n v="615"/>
    <x v="1"/>
    <x v="0"/>
    <x v="2"/>
    <s v="No"/>
    <s v="Y"/>
    <n v="2"/>
    <n v="-2"/>
    <n v="0"/>
    <n v="40"/>
    <n v="0"/>
    <m/>
    <n v="0"/>
    <n v="1"/>
    <n v="1094"/>
    <n v="28"/>
    <x v="3"/>
    <n v="1"/>
    <n v="3"/>
    <n v="58"/>
    <n v="1"/>
    <n v="3"/>
    <n v="3"/>
    <n v="10932"/>
    <n v="11373"/>
    <n v="3"/>
    <n v="15"/>
    <n v="3"/>
    <n v="3"/>
    <n v="80"/>
    <n v="1"/>
    <n v="20"/>
    <n v="3"/>
    <n v="1"/>
    <n v="0"/>
    <n v="0"/>
    <n v="1"/>
  </r>
  <r>
    <s v="No"/>
    <s v="Non-Travel"/>
    <x v="0"/>
    <s v="Current Employees"/>
    <x v="1"/>
    <x v="1"/>
    <s v="STAFF-616"/>
    <n v="616"/>
    <x v="0"/>
    <x v="4"/>
    <x v="0"/>
    <s v="Yes"/>
    <s v="Y"/>
    <n v="3"/>
    <n v="-2"/>
    <n v="0"/>
    <n v="41"/>
    <n v="0"/>
    <m/>
    <n v="0"/>
    <n v="1"/>
    <n v="509"/>
    <n v="2"/>
    <x v="2"/>
    <n v="1"/>
    <n v="1"/>
    <n v="62"/>
    <n v="2"/>
    <n v="2"/>
    <n v="3"/>
    <n v="6811"/>
    <n v="2112"/>
    <n v="2"/>
    <n v="17"/>
    <n v="3"/>
    <n v="1"/>
    <n v="80"/>
    <n v="0"/>
    <n v="10"/>
    <n v="3"/>
    <n v="8"/>
    <n v="7"/>
    <n v="0"/>
    <n v="7"/>
  </r>
  <r>
    <s v="No"/>
    <s v="Travel_Rarely"/>
    <x v="2"/>
    <s v="Current Employees"/>
    <x v="0"/>
    <x v="2"/>
    <s v="STAFF-618"/>
    <n v="618"/>
    <x v="1"/>
    <x v="0"/>
    <x v="2"/>
    <s v="No"/>
    <s v="Y"/>
    <n v="5"/>
    <n v="-2"/>
    <n v="0"/>
    <n v="26"/>
    <n v="0"/>
    <m/>
    <n v="0"/>
    <n v="1"/>
    <n v="775"/>
    <n v="29"/>
    <x v="0"/>
    <n v="1"/>
    <n v="1"/>
    <n v="45"/>
    <n v="3"/>
    <n v="2"/>
    <n v="3"/>
    <n v="4306"/>
    <n v="4267"/>
    <n v="5"/>
    <n v="12"/>
    <n v="3"/>
    <n v="1"/>
    <n v="80"/>
    <n v="2"/>
    <n v="8"/>
    <n v="3"/>
    <n v="0"/>
    <n v="0"/>
    <n v="0"/>
    <n v="0"/>
  </r>
  <r>
    <s v="No"/>
    <s v="Travel_Rarely"/>
    <x v="0"/>
    <s v="Current Employees"/>
    <x v="0"/>
    <x v="2"/>
    <s v="STAFF-620"/>
    <n v="620"/>
    <x v="0"/>
    <x v="0"/>
    <x v="0"/>
    <s v="No"/>
    <s v="Y"/>
    <n v="3"/>
    <n v="-2"/>
    <n v="0"/>
    <n v="35"/>
    <n v="0"/>
    <m/>
    <n v="0"/>
    <n v="1"/>
    <n v="195"/>
    <n v="1"/>
    <x v="3"/>
    <n v="1"/>
    <n v="1"/>
    <n v="80"/>
    <n v="3"/>
    <n v="2"/>
    <n v="3"/>
    <n v="4859"/>
    <n v="6698"/>
    <n v="1"/>
    <n v="16"/>
    <n v="3"/>
    <n v="4"/>
    <n v="80"/>
    <n v="0"/>
    <n v="5"/>
    <n v="3"/>
    <n v="5"/>
    <n v="4"/>
    <n v="0"/>
    <n v="3"/>
  </r>
  <r>
    <s v="No"/>
    <s v="Travel_Rarely"/>
    <x v="2"/>
    <s v="Current Employees"/>
    <x v="0"/>
    <x v="0"/>
    <s v="STAFF-621"/>
    <n v="621"/>
    <x v="1"/>
    <x v="0"/>
    <x v="0"/>
    <s v="No"/>
    <s v="Y"/>
    <n v="3"/>
    <n v="-2"/>
    <n v="0"/>
    <n v="34"/>
    <n v="0"/>
    <m/>
    <n v="0"/>
    <n v="1"/>
    <n v="258"/>
    <n v="21"/>
    <x v="2"/>
    <n v="1"/>
    <n v="4"/>
    <n v="74"/>
    <n v="4"/>
    <n v="2"/>
    <n v="2"/>
    <n v="5337"/>
    <n v="19921"/>
    <n v="1"/>
    <n v="12"/>
    <n v="3"/>
    <n v="4"/>
    <n v="80"/>
    <n v="0"/>
    <n v="10"/>
    <n v="3"/>
    <n v="10"/>
    <n v="7"/>
    <n v="5"/>
    <n v="7"/>
  </r>
  <r>
    <s v="Yes"/>
    <s v="Travel_Rarely"/>
    <x v="2"/>
    <s v="Ex-Employees"/>
    <x v="1"/>
    <x v="4"/>
    <s v="STAFF-622"/>
    <n v="622"/>
    <x v="1"/>
    <x v="2"/>
    <x v="0"/>
    <s v="Yes"/>
    <s v="Y"/>
    <n v="3"/>
    <n v="-2"/>
    <n v="0"/>
    <n v="26"/>
    <n v="1"/>
    <n v="1"/>
    <n v="1"/>
    <n v="0"/>
    <n v="471"/>
    <n v="24"/>
    <x v="3"/>
    <n v="1"/>
    <n v="4"/>
    <n v="66"/>
    <n v="1"/>
    <n v="1"/>
    <n v="4"/>
    <n v="2340"/>
    <n v="23213"/>
    <n v="1"/>
    <n v="18"/>
    <n v="3"/>
    <n v="2"/>
    <n v="80"/>
    <n v="0"/>
    <n v="1"/>
    <n v="1"/>
    <n v="1"/>
    <n v="0"/>
    <n v="0"/>
    <n v="0"/>
  </r>
  <r>
    <s v="No"/>
    <s v="Travel_Rarely"/>
    <x v="0"/>
    <s v="Current Employees"/>
    <x v="1"/>
    <x v="4"/>
    <s v="STAFF-623"/>
    <n v="623"/>
    <x v="0"/>
    <x v="3"/>
    <x v="0"/>
    <s v="No"/>
    <s v="Y"/>
    <n v="3"/>
    <n v="-2"/>
    <n v="0"/>
    <n v="37"/>
    <n v="0"/>
    <m/>
    <n v="0"/>
    <n v="1"/>
    <n v="799"/>
    <n v="1"/>
    <x v="3"/>
    <n v="1"/>
    <n v="4"/>
    <n v="59"/>
    <n v="3"/>
    <n v="3"/>
    <n v="4"/>
    <n v="7491"/>
    <n v="23848"/>
    <n v="4"/>
    <n v="17"/>
    <n v="3"/>
    <n v="4"/>
    <n v="80"/>
    <n v="0"/>
    <n v="12"/>
    <n v="4"/>
    <n v="6"/>
    <n v="5"/>
    <n v="1"/>
    <n v="2"/>
  </r>
  <r>
    <s v="No"/>
    <s v="Travel_Frequently"/>
    <x v="1"/>
    <s v="Current Employees"/>
    <x v="1"/>
    <x v="2"/>
    <s v="STAFF-624"/>
    <n v="624"/>
    <x v="0"/>
    <x v="4"/>
    <x v="1"/>
    <s v="No"/>
    <s v="Y"/>
    <n v="3"/>
    <n v="-2"/>
    <n v="0"/>
    <n v="46"/>
    <n v="0"/>
    <m/>
    <n v="0"/>
    <n v="1"/>
    <n v="1034"/>
    <n v="18"/>
    <x v="1"/>
    <n v="1"/>
    <n v="1"/>
    <n v="86"/>
    <n v="3"/>
    <n v="3"/>
    <n v="3"/>
    <n v="10527"/>
    <n v="8984"/>
    <n v="5"/>
    <n v="11"/>
    <n v="3"/>
    <n v="4"/>
    <n v="80"/>
    <n v="0"/>
    <n v="28"/>
    <n v="2"/>
    <n v="2"/>
    <n v="2"/>
    <n v="1"/>
    <n v="2"/>
  </r>
  <r>
    <s v="No"/>
    <s v="Travel_Rarely"/>
    <x v="0"/>
    <s v="Current Employees"/>
    <x v="0"/>
    <x v="0"/>
    <s v="STAFF-625"/>
    <n v="625"/>
    <x v="0"/>
    <x v="5"/>
    <x v="1"/>
    <s v="No"/>
    <s v="Y"/>
    <n v="2"/>
    <n v="-2"/>
    <n v="0"/>
    <n v="41"/>
    <n v="0"/>
    <m/>
    <n v="0"/>
    <n v="1"/>
    <n v="1276"/>
    <n v="2"/>
    <x v="4"/>
    <n v="1"/>
    <n v="2"/>
    <n v="91"/>
    <n v="3"/>
    <n v="4"/>
    <n v="2"/>
    <n v="16595"/>
    <n v="5626"/>
    <n v="7"/>
    <n v="16"/>
    <n v="3"/>
    <n v="2"/>
    <n v="80"/>
    <n v="1"/>
    <n v="22"/>
    <n v="3"/>
    <n v="18"/>
    <n v="16"/>
    <n v="11"/>
    <n v="8"/>
  </r>
  <r>
    <s v="No"/>
    <s v="Non-Travel"/>
    <x v="0"/>
    <s v="Current Employees"/>
    <x v="0"/>
    <x v="2"/>
    <s v="STAFF-626"/>
    <n v="626"/>
    <x v="1"/>
    <x v="0"/>
    <x v="2"/>
    <s v="No"/>
    <s v="Y"/>
    <n v="6"/>
    <n v="-2"/>
    <n v="0"/>
    <n v="37"/>
    <n v="0"/>
    <m/>
    <n v="0"/>
    <n v="1"/>
    <n v="142"/>
    <n v="9"/>
    <x v="2"/>
    <n v="1"/>
    <n v="1"/>
    <n v="69"/>
    <n v="3"/>
    <n v="3"/>
    <n v="3"/>
    <n v="8834"/>
    <n v="24666"/>
    <n v="1"/>
    <n v="13"/>
    <n v="3"/>
    <n v="4"/>
    <n v="80"/>
    <n v="1"/>
    <n v="9"/>
    <n v="3"/>
    <n v="9"/>
    <n v="5"/>
    <n v="7"/>
    <n v="7"/>
  </r>
  <r>
    <s v="No"/>
    <s v="Travel_Rarely"/>
    <x v="1"/>
    <s v="Current Employees"/>
    <x v="1"/>
    <x v="4"/>
    <s v="STAFF-630"/>
    <n v="630"/>
    <x v="1"/>
    <x v="1"/>
    <x v="2"/>
    <s v="Yes"/>
    <s v="Y"/>
    <n v="3"/>
    <n v="-2"/>
    <n v="0"/>
    <n v="52"/>
    <n v="0"/>
    <m/>
    <n v="0"/>
    <n v="1"/>
    <n v="956"/>
    <n v="6"/>
    <x v="0"/>
    <n v="1"/>
    <n v="4"/>
    <n v="78"/>
    <n v="3"/>
    <n v="2"/>
    <n v="4"/>
    <n v="5577"/>
    <n v="22087"/>
    <n v="3"/>
    <n v="12"/>
    <n v="3"/>
    <n v="2"/>
    <n v="80"/>
    <n v="2"/>
    <n v="18"/>
    <n v="3"/>
    <n v="10"/>
    <n v="9"/>
    <n v="6"/>
    <n v="9"/>
  </r>
  <r>
    <s v="Yes"/>
    <s v="Non-Travel"/>
    <x v="2"/>
    <s v="Ex-Employees"/>
    <x v="0"/>
    <x v="1"/>
    <s v="STAFF-631"/>
    <n v="631"/>
    <x v="1"/>
    <x v="0"/>
    <x v="1"/>
    <s v="No"/>
    <s v="Y"/>
    <n v="2"/>
    <n v="-2"/>
    <n v="0"/>
    <n v="32"/>
    <n v="1"/>
    <n v="1"/>
    <n v="1"/>
    <n v="0"/>
    <n v="1474"/>
    <n v="11"/>
    <x v="2"/>
    <n v="1"/>
    <n v="4"/>
    <n v="60"/>
    <n v="4"/>
    <n v="2"/>
    <n v="3"/>
    <n v="4707"/>
    <n v="23914"/>
    <n v="8"/>
    <n v="12"/>
    <n v="3"/>
    <n v="4"/>
    <n v="80"/>
    <n v="0"/>
    <n v="6"/>
    <n v="3"/>
    <n v="4"/>
    <n v="2"/>
    <n v="1"/>
    <n v="2"/>
  </r>
  <r>
    <s v="No"/>
    <s v="Travel_Frequently"/>
    <x v="4"/>
    <s v="Current Employees"/>
    <x v="0"/>
    <x v="2"/>
    <s v="STAFF-632"/>
    <n v="632"/>
    <x v="1"/>
    <x v="6"/>
    <x v="1"/>
    <s v="No"/>
    <s v="Y"/>
    <n v="3"/>
    <n v="-2"/>
    <n v="0"/>
    <n v="24"/>
    <n v="0"/>
    <m/>
    <n v="0"/>
    <n v="1"/>
    <n v="535"/>
    <n v="24"/>
    <x v="3"/>
    <n v="1"/>
    <n v="4"/>
    <n v="38"/>
    <n v="3"/>
    <n v="1"/>
    <n v="4"/>
    <n v="2400"/>
    <n v="5530"/>
    <n v="0"/>
    <n v="13"/>
    <n v="3"/>
    <n v="3"/>
    <n v="80"/>
    <n v="2"/>
    <n v="3"/>
    <n v="3"/>
    <n v="2"/>
    <n v="2"/>
    <n v="2"/>
    <n v="1"/>
  </r>
  <r>
    <s v="No"/>
    <s v="Travel_Rarely"/>
    <x v="0"/>
    <s v="Current Employees"/>
    <x v="1"/>
    <x v="2"/>
    <s v="STAFF-634"/>
    <n v="634"/>
    <x v="0"/>
    <x v="4"/>
    <x v="1"/>
    <s v="No"/>
    <s v="Y"/>
    <n v="4"/>
    <n v="-2"/>
    <n v="0"/>
    <n v="38"/>
    <n v="0"/>
    <m/>
    <n v="0"/>
    <n v="1"/>
    <n v="1495"/>
    <n v="10"/>
    <x v="3"/>
    <n v="1"/>
    <n v="3"/>
    <n v="76"/>
    <n v="3"/>
    <n v="2"/>
    <n v="3"/>
    <n v="9824"/>
    <n v="22174"/>
    <n v="3"/>
    <n v="19"/>
    <n v="3"/>
    <n v="3"/>
    <n v="80"/>
    <n v="1"/>
    <n v="18"/>
    <n v="3"/>
    <n v="1"/>
    <n v="0"/>
    <n v="0"/>
    <n v="0"/>
  </r>
  <r>
    <s v="No"/>
    <s v="Travel_Rarely"/>
    <x v="0"/>
    <s v="Current Employees"/>
    <x v="1"/>
    <x v="0"/>
    <s v="STAFF-635"/>
    <n v="635"/>
    <x v="0"/>
    <x v="3"/>
    <x v="1"/>
    <s v="No"/>
    <s v="Y"/>
    <n v="2"/>
    <n v="-2"/>
    <n v="0"/>
    <n v="37"/>
    <n v="0"/>
    <m/>
    <n v="0"/>
    <n v="1"/>
    <n v="446"/>
    <n v="1"/>
    <x v="2"/>
    <n v="1"/>
    <n v="2"/>
    <n v="65"/>
    <n v="3"/>
    <n v="2"/>
    <n v="2"/>
    <n v="6447"/>
    <n v="15701"/>
    <n v="6"/>
    <n v="12"/>
    <n v="3"/>
    <n v="2"/>
    <n v="80"/>
    <n v="1"/>
    <n v="8"/>
    <n v="2"/>
    <n v="6"/>
    <n v="5"/>
    <n v="4"/>
    <n v="3"/>
  </r>
  <r>
    <s v="No"/>
    <s v="Travel_Rarely"/>
    <x v="1"/>
    <s v="Current Employees"/>
    <x v="1"/>
    <x v="0"/>
    <s v="STAFF-638"/>
    <n v="638"/>
    <x v="1"/>
    <x v="7"/>
    <x v="2"/>
    <s v="Yes"/>
    <s v="Y"/>
    <n v="5"/>
    <n v="-2"/>
    <n v="0"/>
    <n v="49"/>
    <n v="0"/>
    <m/>
    <n v="0"/>
    <n v="1"/>
    <n v="1245"/>
    <n v="18"/>
    <x v="2"/>
    <n v="1"/>
    <n v="4"/>
    <n v="58"/>
    <n v="2"/>
    <n v="5"/>
    <n v="2"/>
    <n v="19502"/>
    <n v="2125"/>
    <n v="1"/>
    <n v="17"/>
    <n v="3"/>
    <n v="3"/>
    <n v="80"/>
    <n v="1"/>
    <n v="31"/>
    <n v="3"/>
    <n v="31"/>
    <n v="9"/>
    <n v="0"/>
    <n v="9"/>
  </r>
  <r>
    <s v="No"/>
    <s v="Travel_Rarely"/>
    <x v="4"/>
    <s v="Current Employees"/>
    <x v="1"/>
    <x v="2"/>
    <s v="STAFF-639"/>
    <n v="639"/>
    <x v="1"/>
    <x v="1"/>
    <x v="1"/>
    <s v="Yes"/>
    <s v="Y"/>
    <n v="3"/>
    <n v="-2"/>
    <n v="0"/>
    <n v="24"/>
    <n v="0"/>
    <m/>
    <n v="0"/>
    <n v="1"/>
    <n v="691"/>
    <n v="23"/>
    <x v="3"/>
    <n v="1"/>
    <n v="2"/>
    <n v="89"/>
    <n v="4"/>
    <n v="1"/>
    <n v="4"/>
    <n v="2725"/>
    <n v="21630"/>
    <n v="1"/>
    <n v="11"/>
    <n v="3"/>
    <n v="2"/>
    <n v="80"/>
    <n v="2"/>
    <n v="6"/>
    <n v="3"/>
    <n v="6"/>
    <n v="5"/>
    <n v="1"/>
    <n v="4"/>
  </r>
  <r>
    <s v="No"/>
    <s v="Travel_Rarely"/>
    <x v="2"/>
    <s v="Current Employees"/>
    <x v="0"/>
    <x v="3"/>
    <s v="STAFF-641"/>
    <n v="641"/>
    <x v="1"/>
    <x v="0"/>
    <x v="1"/>
    <s v="No"/>
    <s v="Y"/>
    <n v="5"/>
    <n v="-2"/>
    <n v="0"/>
    <n v="26"/>
    <n v="0"/>
    <m/>
    <n v="0"/>
    <n v="1"/>
    <n v="703"/>
    <n v="28"/>
    <x v="0"/>
    <n v="1"/>
    <n v="1"/>
    <n v="66"/>
    <n v="3"/>
    <n v="2"/>
    <n v="1"/>
    <n v="6272"/>
    <n v="7428"/>
    <n v="1"/>
    <n v="20"/>
    <n v="4"/>
    <n v="4"/>
    <n v="80"/>
    <n v="2"/>
    <n v="6"/>
    <n v="4"/>
    <n v="5"/>
    <n v="3"/>
    <n v="1"/>
    <n v="4"/>
  </r>
  <r>
    <s v="No"/>
    <s v="Travel_Rarely"/>
    <x v="4"/>
    <s v="Current Employees"/>
    <x v="1"/>
    <x v="1"/>
    <s v="STAFF-643"/>
    <n v="643"/>
    <x v="1"/>
    <x v="2"/>
    <x v="1"/>
    <s v="No"/>
    <s v="Y"/>
    <n v="2"/>
    <n v="-2"/>
    <n v="0"/>
    <n v="24"/>
    <n v="0"/>
    <m/>
    <n v="0"/>
    <n v="1"/>
    <n v="823"/>
    <n v="17"/>
    <x v="0"/>
    <n v="1"/>
    <n v="4"/>
    <n v="94"/>
    <n v="2"/>
    <n v="1"/>
    <n v="3"/>
    <n v="2127"/>
    <n v="9100"/>
    <n v="1"/>
    <n v="21"/>
    <n v="4"/>
    <n v="4"/>
    <n v="80"/>
    <n v="1"/>
    <n v="1"/>
    <n v="3"/>
    <n v="1"/>
    <n v="0"/>
    <n v="0"/>
    <n v="0"/>
  </r>
  <r>
    <s v="No"/>
    <s v="Travel_Frequently"/>
    <x v="1"/>
    <s v="Current Employees"/>
    <x v="2"/>
    <x v="2"/>
    <s v="STAFF-644"/>
    <n v="644"/>
    <x v="1"/>
    <x v="5"/>
    <x v="1"/>
    <s v="No"/>
    <s v="Y"/>
    <n v="2"/>
    <n v="-2"/>
    <n v="0"/>
    <n v="50"/>
    <n v="0"/>
    <m/>
    <n v="0"/>
    <n v="1"/>
    <n v="1246"/>
    <n v="3"/>
    <x v="3"/>
    <n v="1"/>
    <n v="1"/>
    <n v="99"/>
    <n v="3"/>
    <n v="5"/>
    <n v="3"/>
    <n v="18200"/>
    <n v="7999"/>
    <n v="1"/>
    <n v="11"/>
    <n v="3"/>
    <n v="3"/>
    <n v="80"/>
    <n v="1"/>
    <n v="32"/>
    <n v="3"/>
    <n v="32"/>
    <n v="5"/>
    <n v="10"/>
    <n v="7"/>
  </r>
  <r>
    <s v="No"/>
    <s v="Travel_Rarely"/>
    <x v="2"/>
    <s v="Current Employees"/>
    <x v="0"/>
    <x v="2"/>
    <s v="STAFF-645"/>
    <n v="645"/>
    <x v="1"/>
    <x v="6"/>
    <x v="1"/>
    <s v="No"/>
    <s v="Y"/>
    <n v="1"/>
    <n v="-2"/>
    <n v="0"/>
    <n v="25"/>
    <n v="0"/>
    <m/>
    <n v="0"/>
    <n v="1"/>
    <n v="622"/>
    <n v="13"/>
    <x v="1"/>
    <n v="1"/>
    <n v="2"/>
    <n v="40"/>
    <n v="3"/>
    <n v="1"/>
    <n v="3"/>
    <n v="2096"/>
    <n v="26376"/>
    <n v="1"/>
    <n v="11"/>
    <n v="3"/>
    <n v="3"/>
    <n v="80"/>
    <n v="0"/>
    <n v="7"/>
    <n v="3"/>
    <n v="7"/>
    <n v="4"/>
    <n v="0"/>
    <n v="6"/>
  </r>
  <r>
    <s v="Yes"/>
    <s v="Travel_Frequently"/>
    <x v="4"/>
    <s v="Ex-Employees"/>
    <x v="1"/>
    <x v="0"/>
    <s v="STAFF-647"/>
    <n v="647"/>
    <x v="0"/>
    <x v="2"/>
    <x v="1"/>
    <s v="Yes"/>
    <s v="Y"/>
    <n v="4"/>
    <n v="-2"/>
    <n v="0"/>
    <n v="24"/>
    <n v="1"/>
    <n v="1"/>
    <n v="1"/>
    <n v="0"/>
    <n v="1287"/>
    <n v="7"/>
    <x v="3"/>
    <n v="1"/>
    <n v="1"/>
    <n v="55"/>
    <n v="3"/>
    <n v="1"/>
    <n v="2"/>
    <n v="2886"/>
    <n v="14168"/>
    <n v="1"/>
    <n v="16"/>
    <n v="3"/>
    <n v="4"/>
    <n v="80"/>
    <n v="1"/>
    <n v="6"/>
    <n v="3"/>
    <n v="6"/>
    <n v="3"/>
    <n v="1"/>
    <n v="2"/>
  </r>
  <r>
    <s v="Yes"/>
    <s v="Travel_Frequently"/>
    <x v="2"/>
    <s v="Ex-Employees"/>
    <x v="0"/>
    <x v="0"/>
    <s v="STAFF-648"/>
    <n v="648"/>
    <x v="1"/>
    <x v="6"/>
    <x v="1"/>
    <s v="No"/>
    <s v="Y"/>
    <n v="2"/>
    <n v="-2"/>
    <n v="0"/>
    <n v="30"/>
    <n v="1"/>
    <n v="1"/>
    <n v="1"/>
    <n v="0"/>
    <n v="448"/>
    <n v="12"/>
    <x v="2"/>
    <n v="1"/>
    <n v="2"/>
    <n v="74"/>
    <n v="2"/>
    <n v="1"/>
    <n v="2"/>
    <n v="2033"/>
    <n v="14470"/>
    <n v="1"/>
    <n v="18"/>
    <n v="3"/>
    <n v="3"/>
    <n v="80"/>
    <n v="1"/>
    <n v="1"/>
    <n v="4"/>
    <n v="1"/>
    <n v="0"/>
    <n v="0"/>
    <n v="0"/>
  </r>
  <r>
    <s v="No"/>
    <s v="Travel_Rarely"/>
    <x v="2"/>
    <s v="Current Employees"/>
    <x v="1"/>
    <x v="0"/>
    <s v="STAFF-649"/>
    <n v="649"/>
    <x v="1"/>
    <x v="1"/>
    <x v="1"/>
    <s v="Yes"/>
    <s v="Y"/>
    <n v="3"/>
    <n v="-2"/>
    <n v="0"/>
    <n v="34"/>
    <n v="0"/>
    <m/>
    <n v="0"/>
    <n v="1"/>
    <n v="254"/>
    <n v="1"/>
    <x v="0"/>
    <n v="1"/>
    <n v="2"/>
    <n v="83"/>
    <n v="2"/>
    <n v="1"/>
    <n v="2"/>
    <n v="3622"/>
    <n v="22794"/>
    <n v="1"/>
    <n v="13"/>
    <n v="3"/>
    <n v="4"/>
    <n v="80"/>
    <n v="1"/>
    <n v="6"/>
    <n v="3"/>
    <n v="6"/>
    <n v="5"/>
    <n v="1"/>
    <n v="3"/>
  </r>
  <r>
    <s v="Yes"/>
    <s v="Travel_Rarely"/>
    <x v="2"/>
    <s v="Ex-Employees"/>
    <x v="0"/>
    <x v="2"/>
    <s v="STAFF-650"/>
    <n v="650"/>
    <x v="1"/>
    <x v="0"/>
    <x v="2"/>
    <s v="No"/>
    <s v="Y"/>
    <n v="2"/>
    <n v="-2"/>
    <n v="0"/>
    <n v="31"/>
    <n v="1"/>
    <n v="1"/>
    <n v="1"/>
    <n v="0"/>
    <n v="1365"/>
    <n v="13"/>
    <x v="2"/>
    <n v="1"/>
    <n v="2"/>
    <n v="46"/>
    <n v="3"/>
    <n v="2"/>
    <n v="3"/>
    <n v="4233"/>
    <n v="11512"/>
    <n v="2"/>
    <n v="17"/>
    <n v="3"/>
    <n v="3"/>
    <n v="80"/>
    <n v="0"/>
    <n v="9"/>
    <n v="1"/>
    <n v="3"/>
    <n v="1"/>
    <n v="1"/>
    <n v="2"/>
  </r>
  <r>
    <s v="No"/>
    <s v="Travel_Rarely"/>
    <x v="0"/>
    <s v="Current Employees"/>
    <x v="1"/>
    <x v="1"/>
    <s v="STAFF-652"/>
    <n v="652"/>
    <x v="1"/>
    <x v="2"/>
    <x v="0"/>
    <s v="No"/>
    <s v="Y"/>
    <n v="3"/>
    <n v="-2"/>
    <n v="0"/>
    <n v="35"/>
    <n v="0"/>
    <m/>
    <n v="0"/>
    <n v="1"/>
    <n v="538"/>
    <n v="25"/>
    <x v="0"/>
    <n v="1"/>
    <n v="1"/>
    <n v="54"/>
    <n v="2"/>
    <n v="2"/>
    <n v="4"/>
    <n v="3681"/>
    <n v="14004"/>
    <n v="4"/>
    <n v="14"/>
    <n v="3"/>
    <n v="4"/>
    <n v="80"/>
    <n v="0"/>
    <n v="9"/>
    <n v="3"/>
    <n v="3"/>
    <n v="2"/>
    <n v="0"/>
    <n v="2"/>
  </r>
  <r>
    <s v="No"/>
    <s v="Travel_Rarely"/>
    <x v="2"/>
    <s v="Current Employees"/>
    <x v="0"/>
    <x v="2"/>
    <s v="STAFF-653"/>
    <n v="653"/>
    <x v="1"/>
    <x v="0"/>
    <x v="2"/>
    <s v="No"/>
    <s v="Y"/>
    <n v="4"/>
    <n v="-2"/>
    <n v="0"/>
    <n v="31"/>
    <n v="0"/>
    <m/>
    <n v="0"/>
    <n v="1"/>
    <n v="525"/>
    <n v="6"/>
    <x v="2"/>
    <n v="1"/>
    <n v="1"/>
    <n v="66"/>
    <n v="4"/>
    <n v="2"/>
    <n v="4"/>
    <n v="5460"/>
    <n v="6219"/>
    <n v="4"/>
    <n v="22"/>
    <n v="4"/>
    <n v="4"/>
    <n v="80"/>
    <n v="2"/>
    <n v="13"/>
    <n v="4"/>
    <n v="7"/>
    <n v="7"/>
    <n v="5"/>
    <n v="7"/>
  </r>
  <r>
    <s v="No"/>
    <s v="Travel_Rarely"/>
    <x v="2"/>
    <s v="Current Employees"/>
    <x v="1"/>
    <x v="2"/>
    <s v="STAFF-655"/>
    <n v="655"/>
    <x v="0"/>
    <x v="1"/>
    <x v="2"/>
    <s v="No"/>
    <s v="Y"/>
    <n v="5"/>
    <n v="-2"/>
    <n v="0"/>
    <n v="27"/>
    <n v="0"/>
    <m/>
    <n v="0"/>
    <n v="1"/>
    <n v="798"/>
    <n v="6"/>
    <x v="2"/>
    <n v="1"/>
    <n v="1"/>
    <n v="66"/>
    <n v="2"/>
    <n v="1"/>
    <n v="3"/>
    <n v="2187"/>
    <n v="5013"/>
    <n v="0"/>
    <n v="12"/>
    <n v="3"/>
    <n v="3"/>
    <n v="80"/>
    <n v="2"/>
    <n v="6"/>
    <n v="2"/>
    <n v="5"/>
    <n v="3"/>
    <n v="0"/>
    <n v="3"/>
  </r>
  <r>
    <s v="No"/>
    <s v="Travel_Rarely"/>
    <x v="0"/>
    <s v="Current Employees"/>
    <x v="0"/>
    <x v="3"/>
    <s v="STAFF-656"/>
    <n v="656"/>
    <x v="1"/>
    <x v="0"/>
    <x v="1"/>
    <s v="Yes"/>
    <s v="Y"/>
    <n v="3"/>
    <n v="-2"/>
    <n v="0"/>
    <n v="37"/>
    <n v="0"/>
    <m/>
    <n v="0"/>
    <n v="1"/>
    <n v="558"/>
    <n v="2"/>
    <x v="3"/>
    <n v="1"/>
    <n v="4"/>
    <n v="75"/>
    <n v="3"/>
    <n v="2"/>
    <n v="1"/>
    <n v="9602"/>
    <n v="3010"/>
    <n v="4"/>
    <n v="11"/>
    <n v="3"/>
    <n v="3"/>
    <n v="80"/>
    <n v="1"/>
    <n v="17"/>
    <n v="2"/>
    <n v="3"/>
    <n v="0"/>
    <n v="1"/>
    <n v="0"/>
  </r>
  <r>
    <s v="No"/>
    <s v="Travel_Rarely"/>
    <x v="4"/>
    <s v="Current Employees"/>
    <x v="1"/>
    <x v="0"/>
    <s v="STAFF-657"/>
    <n v="657"/>
    <x v="0"/>
    <x v="1"/>
    <x v="0"/>
    <s v="No"/>
    <s v="Y"/>
    <n v="0"/>
    <n v="-2"/>
    <n v="0"/>
    <n v="20"/>
    <n v="0"/>
    <m/>
    <n v="0"/>
    <n v="1"/>
    <n v="959"/>
    <n v="1"/>
    <x v="3"/>
    <n v="1"/>
    <n v="4"/>
    <n v="83"/>
    <n v="2"/>
    <n v="1"/>
    <n v="2"/>
    <n v="2836"/>
    <n v="11757"/>
    <n v="1"/>
    <n v="13"/>
    <n v="3"/>
    <n v="4"/>
    <n v="80"/>
    <n v="0"/>
    <n v="1"/>
    <n v="4"/>
    <n v="1"/>
    <n v="0"/>
    <n v="0"/>
    <n v="0"/>
  </r>
  <r>
    <s v="No"/>
    <s v="Travel_Rarely"/>
    <x v="0"/>
    <s v="Current Employees"/>
    <x v="1"/>
    <x v="0"/>
    <s v="STAFF-659"/>
    <n v="659"/>
    <x v="0"/>
    <x v="4"/>
    <x v="1"/>
    <s v="No"/>
    <s v="Y"/>
    <n v="4"/>
    <n v="-2"/>
    <n v="0"/>
    <n v="42"/>
    <n v="0"/>
    <m/>
    <n v="0"/>
    <n v="1"/>
    <n v="622"/>
    <n v="2"/>
    <x v="2"/>
    <n v="1"/>
    <n v="3"/>
    <n v="81"/>
    <n v="3"/>
    <n v="2"/>
    <n v="2"/>
    <n v="4089"/>
    <n v="5718"/>
    <n v="1"/>
    <n v="13"/>
    <n v="3"/>
    <n v="2"/>
    <n v="80"/>
    <n v="2"/>
    <n v="10"/>
    <n v="3"/>
    <n v="10"/>
    <n v="2"/>
    <n v="2"/>
    <n v="2"/>
  </r>
  <r>
    <s v="No"/>
    <s v="Travel_Rarely"/>
    <x v="0"/>
    <s v="Current Employees"/>
    <x v="1"/>
    <x v="1"/>
    <s v="STAFF-661"/>
    <n v="661"/>
    <x v="1"/>
    <x v="7"/>
    <x v="2"/>
    <s v="Yes"/>
    <s v="Y"/>
    <n v="3"/>
    <n v="-2"/>
    <n v="0"/>
    <n v="43"/>
    <n v="0"/>
    <m/>
    <n v="0"/>
    <n v="1"/>
    <n v="782"/>
    <n v="6"/>
    <x v="2"/>
    <n v="1"/>
    <n v="2"/>
    <n v="50"/>
    <n v="2"/>
    <n v="4"/>
    <n v="4"/>
    <n v="16627"/>
    <n v="2671"/>
    <n v="4"/>
    <n v="14"/>
    <n v="3"/>
    <n v="3"/>
    <n v="80"/>
    <n v="1"/>
    <n v="21"/>
    <n v="2"/>
    <n v="1"/>
    <n v="0"/>
    <n v="0"/>
    <n v="0"/>
  </r>
  <r>
    <s v="No"/>
    <s v="Travel_Rarely"/>
    <x v="0"/>
    <s v="Current Employees"/>
    <x v="1"/>
    <x v="0"/>
    <s v="STAFF-662"/>
    <n v="662"/>
    <x v="0"/>
    <x v="1"/>
    <x v="0"/>
    <s v="No"/>
    <s v="Y"/>
    <n v="3"/>
    <n v="-2"/>
    <n v="0"/>
    <n v="38"/>
    <n v="0"/>
    <m/>
    <n v="0"/>
    <n v="1"/>
    <n v="362"/>
    <n v="1"/>
    <x v="1"/>
    <n v="1"/>
    <n v="3"/>
    <n v="43"/>
    <n v="3"/>
    <n v="1"/>
    <n v="2"/>
    <n v="2619"/>
    <n v="14561"/>
    <n v="3"/>
    <n v="17"/>
    <n v="3"/>
    <n v="4"/>
    <n v="80"/>
    <n v="0"/>
    <n v="8"/>
    <n v="2"/>
    <n v="0"/>
    <n v="0"/>
    <n v="0"/>
    <n v="0"/>
  </r>
  <r>
    <s v="No"/>
    <s v="Travel_Frequently"/>
    <x v="0"/>
    <s v="Current Employees"/>
    <x v="1"/>
    <x v="2"/>
    <s v="STAFF-663"/>
    <n v="663"/>
    <x v="1"/>
    <x v="2"/>
    <x v="2"/>
    <s v="Yes"/>
    <s v="Y"/>
    <n v="3"/>
    <n v="-2"/>
    <n v="0"/>
    <n v="43"/>
    <n v="0"/>
    <m/>
    <n v="0"/>
    <n v="1"/>
    <n v="1001"/>
    <n v="9"/>
    <x v="4"/>
    <n v="1"/>
    <n v="4"/>
    <n v="72"/>
    <n v="3"/>
    <n v="2"/>
    <n v="3"/>
    <n v="5679"/>
    <n v="19627"/>
    <n v="3"/>
    <n v="13"/>
    <n v="3"/>
    <n v="2"/>
    <n v="80"/>
    <n v="1"/>
    <n v="10"/>
    <n v="3"/>
    <n v="8"/>
    <n v="7"/>
    <n v="4"/>
    <n v="7"/>
  </r>
  <r>
    <s v="No"/>
    <s v="Travel_Rarely"/>
    <x v="1"/>
    <s v="Current Employees"/>
    <x v="1"/>
    <x v="0"/>
    <s v="STAFF-664"/>
    <n v="664"/>
    <x v="0"/>
    <x v="5"/>
    <x v="1"/>
    <s v="No"/>
    <s v="Y"/>
    <n v="3"/>
    <n v="-2"/>
    <n v="0"/>
    <n v="48"/>
    <n v="0"/>
    <m/>
    <n v="0"/>
    <n v="1"/>
    <n v="1236"/>
    <n v="1"/>
    <x v="2"/>
    <n v="1"/>
    <n v="4"/>
    <n v="40"/>
    <n v="2"/>
    <n v="4"/>
    <n v="2"/>
    <n v="15402"/>
    <n v="17997"/>
    <n v="7"/>
    <n v="11"/>
    <n v="3"/>
    <n v="1"/>
    <n v="80"/>
    <n v="1"/>
    <n v="21"/>
    <n v="1"/>
    <n v="3"/>
    <n v="2"/>
    <n v="0"/>
    <n v="2"/>
  </r>
  <r>
    <s v="No"/>
    <s v="Travel_Rarely"/>
    <x v="0"/>
    <s v="Current Employees"/>
    <x v="2"/>
    <x v="0"/>
    <s v="STAFF-665"/>
    <n v="665"/>
    <x v="0"/>
    <x v="8"/>
    <x v="0"/>
    <s v="No"/>
    <s v="Y"/>
    <n v="1"/>
    <n v="-2"/>
    <n v="0"/>
    <n v="44"/>
    <n v="0"/>
    <m/>
    <n v="0"/>
    <n v="1"/>
    <n v="1112"/>
    <n v="1"/>
    <x v="2"/>
    <n v="1"/>
    <n v="1"/>
    <n v="50"/>
    <n v="2"/>
    <n v="2"/>
    <n v="2"/>
    <n v="5985"/>
    <n v="26894"/>
    <n v="4"/>
    <n v="11"/>
    <n v="3"/>
    <n v="2"/>
    <n v="80"/>
    <n v="0"/>
    <n v="10"/>
    <n v="4"/>
    <n v="2"/>
    <n v="2"/>
    <n v="0"/>
    <n v="2"/>
  </r>
  <r>
    <s v="No"/>
    <s v="Travel_Rarely"/>
    <x v="2"/>
    <s v="Current Employees"/>
    <x v="0"/>
    <x v="4"/>
    <s v="STAFF-666"/>
    <n v="666"/>
    <x v="0"/>
    <x v="6"/>
    <x v="2"/>
    <s v="Yes"/>
    <s v="Y"/>
    <n v="3"/>
    <n v="-2"/>
    <n v="0"/>
    <n v="34"/>
    <n v="0"/>
    <m/>
    <n v="0"/>
    <n v="1"/>
    <n v="204"/>
    <n v="14"/>
    <x v="3"/>
    <n v="1"/>
    <n v="4"/>
    <n v="31"/>
    <n v="3"/>
    <n v="1"/>
    <n v="4"/>
    <n v="2579"/>
    <n v="2912"/>
    <n v="1"/>
    <n v="18"/>
    <n v="3"/>
    <n v="4"/>
    <n v="80"/>
    <n v="2"/>
    <n v="8"/>
    <n v="3"/>
    <n v="8"/>
    <n v="2"/>
    <n v="0"/>
    <n v="6"/>
  </r>
  <r>
    <s v="Yes"/>
    <s v="Travel_Rarely"/>
    <x v="2"/>
    <s v="Ex-Employees"/>
    <x v="0"/>
    <x v="3"/>
    <s v="STAFF-667"/>
    <n v="667"/>
    <x v="1"/>
    <x v="6"/>
    <x v="2"/>
    <s v="No"/>
    <s v="Y"/>
    <n v="3"/>
    <n v="-2"/>
    <n v="0"/>
    <n v="27"/>
    <n v="1"/>
    <n v="1"/>
    <n v="1"/>
    <n v="0"/>
    <n v="1420"/>
    <n v="2"/>
    <x v="1"/>
    <n v="1"/>
    <n v="3"/>
    <n v="85"/>
    <n v="3"/>
    <n v="1"/>
    <n v="1"/>
    <n v="3041"/>
    <n v="16346"/>
    <n v="0"/>
    <n v="11"/>
    <n v="3"/>
    <n v="2"/>
    <n v="80"/>
    <n v="1"/>
    <n v="5"/>
    <n v="3"/>
    <n v="4"/>
    <n v="3"/>
    <n v="0"/>
    <n v="2"/>
  </r>
  <r>
    <s v="No"/>
    <s v="Travel_Rarely"/>
    <x v="4"/>
    <s v="Current Employees"/>
    <x v="0"/>
    <x v="4"/>
    <s v="STAFF-669"/>
    <n v="669"/>
    <x v="1"/>
    <x v="6"/>
    <x v="0"/>
    <s v="No"/>
    <s v="Y"/>
    <n v="2"/>
    <n v="-2"/>
    <n v="0"/>
    <n v="21"/>
    <n v="0"/>
    <m/>
    <n v="0"/>
    <n v="1"/>
    <n v="1343"/>
    <n v="22"/>
    <x v="1"/>
    <n v="1"/>
    <n v="4"/>
    <n v="49"/>
    <n v="3"/>
    <n v="1"/>
    <n v="4"/>
    <n v="3447"/>
    <n v="24444"/>
    <n v="1"/>
    <n v="11"/>
    <n v="3"/>
    <n v="3"/>
    <n v="80"/>
    <n v="0"/>
    <n v="3"/>
    <n v="3"/>
    <n v="3"/>
    <n v="2"/>
    <n v="1"/>
    <n v="2"/>
  </r>
  <r>
    <s v="No"/>
    <s v="Travel_Rarely"/>
    <x v="0"/>
    <s v="Current Employees"/>
    <x v="1"/>
    <x v="1"/>
    <s v="STAFF-671"/>
    <n v="671"/>
    <x v="1"/>
    <x v="5"/>
    <x v="1"/>
    <s v="Yes"/>
    <s v="Y"/>
    <n v="2"/>
    <n v="-2"/>
    <n v="0"/>
    <n v="44"/>
    <n v="0"/>
    <m/>
    <n v="0"/>
    <n v="1"/>
    <n v="1315"/>
    <n v="3"/>
    <x v="2"/>
    <n v="1"/>
    <n v="4"/>
    <n v="35"/>
    <n v="3"/>
    <n v="5"/>
    <n v="4"/>
    <n v="19513"/>
    <n v="9358"/>
    <n v="4"/>
    <n v="12"/>
    <n v="3"/>
    <n v="1"/>
    <n v="80"/>
    <n v="1"/>
    <n v="26"/>
    <n v="4"/>
    <n v="2"/>
    <n v="2"/>
    <n v="0"/>
    <n v="1"/>
  </r>
  <r>
    <s v="No"/>
    <s v="Travel_Rarely"/>
    <x v="4"/>
    <s v="Current Employees"/>
    <x v="1"/>
    <x v="2"/>
    <s v="STAFF-675"/>
    <n v="675"/>
    <x v="1"/>
    <x v="1"/>
    <x v="1"/>
    <s v="No"/>
    <s v="Y"/>
    <n v="3"/>
    <n v="-2"/>
    <n v="0"/>
    <n v="22"/>
    <n v="0"/>
    <m/>
    <n v="0"/>
    <n v="1"/>
    <n v="604"/>
    <n v="6"/>
    <x v="1"/>
    <n v="1"/>
    <n v="1"/>
    <n v="69"/>
    <n v="3"/>
    <n v="1"/>
    <n v="3"/>
    <n v="2773"/>
    <n v="12145"/>
    <n v="0"/>
    <n v="20"/>
    <n v="4"/>
    <n v="4"/>
    <n v="80"/>
    <n v="0"/>
    <n v="3"/>
    <n v="3"/>
    <n v="2"/>
    <n v="2"/>
    <n v="2"/>
    <n v="2"/>
  </r>
  <r>
    <s v="No"/>
    <s v="Travel_Rarely"/>
    <x v="2"/>
    <s v="Current Employees"/>
    <x v="0"/>
    <x v="3"/>
    <s v="STAFF-677"/>
    <n v="677"/>
    <x v="1"/>
    <x v="0"/>
    <x v="2"/>
    <s v="No"/>
    <s v="Y"/>
    <n v="3"/>
    <n v="-2"/>
    <n v="0"/>
    <n v="33"/>
    <n v="0"/>
    <m/>
    <n v="0"/>
    <n v="1"/>
    <n v="1216"/>
    <n v="8"/>
    <x v="2"/>
    <n v="1"/>
    <n v="3"/>
    <n v="39"/>
    <n v="3"/>
    <n v="2"/>
    <n v="1"/>
    <n v="7104"/>
    <n v="20431"/>
    <n v="0"/>
    <n v="12"/>
    <n v="3"/>
    <n v="4"/>
    <n v="80"/>
    <n v="0"/>
    <n v="6"/>
    <n v="3"/>
    <n v="5"/>
    <n v="0"/>
    <n v="1"/>
    <n v="2"/>
  </r>
  <r>
    <s v="No"/>
    <s v="Travel_Rarely"/>
    <x v="2"/>
    <s v="Current Employees"/>
    <x v="1"/>
    <x v="0"/>
    <s v="STAFF-679"/>
    <n v="679"/>
    <x v="0"/>
    <x v="1"/>
    <x v="1"/>
    <s v="Yes"/>
    <s v="Y"/>
    <n v="2"/>
    <n v="-2"/>
    <n v="0"/>
    <n v="32"/>
    <n v="0"/>
    <m/>
    <n v="0"/>
    <n v="1"/>
    <n v="646"/>
    <n v="9"/>
    <x v="2"/>
    <n v="1"/>
    <n v="1"/>
    <n v="92"/>
    <n v="3"/>
    <n v="2"/>
    <n v="2"/>
    <n v="6322"/>
    <n v="18089"/>
    <n v="1"/>
    <n v="12"/>
    <n v="3"/>
    <n v="4"/>
    <n v="80"/>
    <n v="1"/>
    <n v="6"/>
    <n v="2"/>
    <n v="6"/>
    <n v="4"/>
    <n v="0"/>
    <n v="5"/>
  </r>
  <r>
    <s v="No"/>
    <s v="Travel_Frequently"/>
    <x v="2"/>
    <s v="Current Employees"/>
    <x v="1"/>
    <x v="2"/>
    <s v="STAFF-680"/>
    <n v="680"/>
    <x v="0"/>
    <x v="1"/>
    <x v="2"/>
    <s v="No"/>
    <s v="Y"/>
    <n v="2"/>
    <n v="-2"/>
    <n v="0"/>
    <n v="30"/>
    <n v="0"/>
    <m/>
    <n v="0"/>
    <n v="1"/>
    <n v="160"/>
    <n v="3"/>
    <x v="3"/>
    <n v="1"/>
    <n v="3"/>
    <n v="71"/>
    <n v="3"/>
    <n v="1"/>
    <n v="3"/>
    <n v="2083"/>
    <n v="22653"/>
    <n v="1"/>
    <n v="20"/>
    <n v="4"/>
    <n v="3"/>
    <n v="80"/>
    <n v="1"/>
    <n v="1"/>
    <n v="3"/>
    <n v="1"/>
    <n v="0"/>
    <n v="0"/>
    <n v="0"/>
  </r>
  <r>
    <s v="No"/>
    <s v="Travel_Rarely"/>
    <x v="1"/>
    <s v="Current Employees"/>
    <x v="0"/>
    <x v="2"/>
    <s v="STAFF-682"/>
    <n v="682"/>
    <x v="0"/>
    <x v="0"/>
    <x v="0"/>
    <s v="No"/>
    <s v="Y"/>
    <n v="2"/>
    <n v="-2"/>
    <n v="0"/>
    <n v="53"/>
    <n v="0"/>
    <m/>
    <n v="0"/>
    <n v="1"/>
    <n v="238"/>
    <n v="1"/>
    <x v="1"/>
    <n v="1"/>
    <n v="4"/>
    <n v="34"/>
    <n v="3"/>
    <n v="2"/>
    <n v="3"/>
    <n v="8381"/>
    <n v="7507"/>
    <n v="7"/>
    <n v="20"/>
    <n v="4"/>
    <n v="4"/>
    <n v="80"/>
    <n v="0"/>
    <n v="18"/>
    <n v="4"/>
    <n v="14"/>
    <n v="7"/>
    <n v="8"/>
    <n v="10"/>
  </r>
  <r>
    <s v="No"/>
    <s v="Travel_Rarely"/>
    <x v="2"/>
    <s v="Current Employees"/>
    <x v="1"/>
    <x v="0"/>
    <s v="STAFF-683"/>
    <n v="683"/>
    <x v="1"/>
    <x v="1"/>
    <x v="1"/>
    <s v="No"/>
    <s v="Y"/>
    <n v="4"/>
    <n v="-2"/>
    <n v="0"/>
    <n v="34"/>
    <n v="0"/>
    <m/>
    <n v="0"/>
    <n v="1"/>
    <n v="1397"/>
    <n v="1"/>
    <x v="4"/>
    <n v="1"/>
    <n v="2"/>
    <n v="42"/>
    <n v="3"/>
    <n v="1"/>
    <n v="2"/>
    <n v="2691"/>
    <n v="7660"/>
    <n v="1"/>
    <n v="12"/>
    <n v="3"/>
    <n v="4"/>
    <n v="80"/>
    <n v="1"/>
    <n v="10"/>
    <n v="2"/>
    <n v="10"/>
    <n v="9"/>
    <n v="8"/>
    <n v="8"/>
  </r>
  <r>
    <s v="Yes"/>
    <s v="Travel_Frequently"/>
    <x v="1"/>
    <s v="Ex-Employees"/>
    <x v="0"/>
    <x v="0"/>
    <s v="STAFF-684"/>
    <n v="684"/>
    <x v="0"/>
    <x v="0"/>
    <x v="1"/>
    <s v="No"/>
    <s v="Y"/>
    <n v="4"/>
    <n v="-2"/>
    <n v="0"/>
    <n v="45"/>
    <n v="1"/>
    <n v="1"/>
    <n v="1"/>
    <n v="0"/>
    <n v="306"/>
    <n v="26"/>
    <x v="2"/>
    <n v="1"/>
    <n v="1"/>
    <n v="100"/>
    <n v="3"/>
    <n v="2"/>
    <n v="2"/>
    <n v="4286"/>
    <n v="5630"/>
    <n v="2"/>
    <n v="14"/>
    <n v="3"/>
    <n v="4"/>
    <n v="80"/>
    <n v="2"/>
    <n v="5"/>
    <n v="3"/>
    <n v="1"/>
    <n v="1"/>
    <n v="0"/>
    <n v="0"/>
  </r>
  <r>
    <s v="No"/>
    <s v="Travel_Rarely"/>
    <x v="2"/>
    <s v="Current Employees"/>
    <x v="1"/>
    <x v="0"/>
    <s v="STAFF-686"/>
    <n v="686"/>
    <x v="0"/>
    <x v="2"/>
    <x v="1"/>
    <s v="Yes"/>
    <s v="Y"/>
    <n v="2"/>
    <n v="-2"/>
    <n v="0"/>
    <n v="26"/>
    <n v="0"/>
    <m/>
    <n v="0"/>
    <n v="1"/>
    <n v="991"/>
    <n v="6"/>
    <x v="3"/>
    <n v="1"/>
    <n v="3"/>
    <n v="71"/>
    <n v="3"/>
    <n v="1"/>
    <n v="2"/>
    <n v="2659"/>
    <n v="17759"/>
    <n v="1"/>
    <n v="13"/>
    <n v="3"/>
    <n v="3"/>
    <n v="80"/>
    <n v="1"/>
    <n v="3"/>
    <n v="3"/>
    <n v="3"/>
    <n v="2"/>
    <n v="0"/>
    <n v="2"/>
  </r>
  <r>
    <s v="No"/>
    <s v="Travel_Rarely"/>
    <x v="0"/>
    <s v="Current Employees"/>
    <x v="1"/>
    <x v="1"/>
    <s v="STAFF-689"/>
    <n v="689"/>
    <x v="1"/>
    <x v="3"/>
    <x v="1"/>
    <s v="No"/>
    <s v="Y"/>
    <n v="2"/>
    <n v="-2"/>
    <n v="0"/>
    <n v="37"/>
    <n v="0"/>
    <m/>
    <n v="0"/>
    <n v="1"/>
    <n v="482"/>
    <n v="3"/>
    <x v="3"/>
    <n v="1"/>
    <n v="3"/>
    <n v="36"/>
    <n v="3"/>
    <n v="3"/>
    <n v="3"/>
    <n v="9434"/>
    <n v="9606"/>
    <n v="1"/>
    <n v="15"/>
    <n v="3"/>
    <n v="3"/>
    <n v="80"/>
    <n v="1"/>
    <n v="10"/>
    <n v="3"/>
    <n v="10"/>
    <n v="7"/>
    <n v="7"/>
    <n v="8"/>
  </r>
  <r>
    <s v="No"/>
    <s v="Travel_Rarely"/>
    <x v="2"/>
    <s v="Current Employees"/>
    <x v="0"/>
    <x v="2"/>
    <s v="STAFF-690"/>
    <n v="690"/>
    <x v="0"/>
    <x v="0"/>
    <x v="1"/>
    <s v="No"/>
    <s v="Y"/>
    <n v="5"/>
    <n v="-2"/>
    <n v="0"/>
    <n v="29"/>
    <n v="0"/>
    <m/>
    <n v="0"/>
    <n v="1"/>
    <n v="1176"/>
    <n v="3"/>
    <x v="0"/>
    <n v="1"/>
    <n v="2"/>
    <n v="62"/>
    <n v="3"/>
    <n v="2"/>
    <n v="3"/>
    <n v="5561"/>
    <n v="3487"/>
    <n v="1"/>
    <n v="14"/>
    <n v="3"/>
    <n v="1"/>
    <n v="80"/>
    <n v="1"/>
    <n v="6"/>
    <n v="2"/>
    <n v="6"/>
    <n v="0"/>
    <n v="1"/>
    <n v="2"/>
  </r>
  <r>
    <s v="No"/>
    <s v="Travel_Rarely"/>
    <x v="0"/>
    <s v="Current Employees"/>
    <x v="1"/>
    <x v="0"/>
    <s v="STAFF-691"/>
    <n v="691"/>
    <x v="1"/>
    <x v="1"/>
    <x v="0"/>
    <s v="No"/>
    <s v="Y"/>
    <n v="3"/>
    <n v="-2"/>
    <n v="0"/>
    <n v="35"/>
    <n v="0"/>
    <m/>
    <n v="0"/>
    <n v="1"/>
    <n v="1017"/>
    <n v="6"/>
    <x v="2"/>
    <n v="1"/>
    <n v="2"/>
    <n v="82"/>
    <n v="1"/>
    <n v="2"/>
    <n v="2"/>
    <n v="6646"/>
    <n v="19368"/>
    <n v="1"/>
    <n v="13"/>
    <n v="3"/>
    <n v="2"/>
    <n v="80"/>
    <n v="0"/>
    <n v="17"/>
    <n v="3"/>
    <n v="17"/>
    <n v="11"/>
    <n v="11"/>
    <n v="8"/>
  </r>
  <r>
    <s v="No"/>
    <s v="Travel_Frequently"/>
    <x v="2"/>
    <s v="Current Employees"/>
    <x v="1"/>
    <x v="0"/>
    <s v="STAFF-692"/>
    <n v="692"/>
    <x v="1"/>
    <x v="4"/>
    <x v="2"/>
    <s v="No"/>
    <s v="Y"/>
    <n v="2"/>
    <n v="-2"/>
    <n v="0"/>
    <n v="33"/>
    <n v="0"/>
    <m/>
    <n v="0"/>
    <n v="1"/>
    <n v="1296"/>
    <n v="6"/>
    <x v="3"/>
    <n v="1"/>
    <n v="3"/>
    <n v="30"/>
    <n v="3"/>
    <n v="2"/>
    <n v="2"/>
    <n v="7725"/>
    <n v="5335"/>
    <n v="3"/>
    <n v="23"/>
    <n v="4"/>
    <n v="3"/>
    <n v="80"/>
    <n v="1"/>
    <n v="15"/>
    <n v="1"/>
    <n v="13"/>
    <n v="11"/>
    <n v="4"/>
    <n v="7"/>
  </r>
  <r>
    <s v="No"/>
    <s v="Travel_Rarely"/>
    <x v="1"/>
    <s v="Current Employees"/>
    <x v="2"/>
    <x v="2"/>
    <s v="STAFF-698"/>
    <n v="698"/>
    <x v="1"/>
    <x v="8"/>
    <x v="1"/>
    <s v="No"/>
    <s v="Y"/>
    <n v="1"/>
    <n v="-2"/>
    <n v="0"/>
    <n v="54"/>
    <n v="0"/>
    <m/>
    <n v="0"/>
    <n v="1"/>
    <n v="397"/>
    <n v="19"/>
    <x v="2"/>
    <n v="1"/>
    <n v="3"/>
    <n v="88"/>
    <n v="3"/>
    <n v="3"/>
    <n v="3"/>
    <n v="10725"/>
    <n v="6729"/>
    <n v="2"/>
    <n v="15"/>
    <n v="3"/>
    <n v="3"/>
    <n v="80"/>
    <n v="1"/>
    <n v="16"/>
    <n v="4"/>
    <n v="9"/>
    <n v="7"/>
    <n v="7"/>
    <n v="1"/>
  </r>
  <r>
    <s v="No"/>
    <s v="Travel_Rarely"/>
    <x v="0"/>
    <s v="Current Employees"/>
    <x v="1"/>
    <x v="2"/>
    <s v="STAFF-699"/>
    <n v="699"/>
    <x v="1"/>
    <x v="3"/>
    <x v="2"/>
    <s v="Yes"/>
    <s v="Y"/>
    <n v="2"/>
    <n v="-2"/>
    <n v="0"/>
    <n v="36"/>
    <n v="0"/>
    <m/>
    <n v="0"/>
    <n v="1"/>
    <n v="913"/>
    <n v="9"/>
    <x v="0"/>
    <n v="1"/>
    <n v="2"/>
    <n v="48"/>
    <n v="2"/>
    <n v="2"/>
    <n v="3"/>
    <n v="8847"/>
    <n v="13934"/>
    <n v="2"/>
    <n v="11"/>
    <n v="3"/>
    <n v="3"/>
    <n v="80"/>
    <n v="1"/>
    <n v="13"/>
    <n v="3"/>
    <n v="3"/>
    <n v="2"/>
    <n v="0"/>
    <n v="2"/>
  </r>
  <r>
    <s v="No"/>
    <s v="Travel_Rarely"/>
    <x v="2"/>
    <s v="Current Employees"/>
    <x v="1"/>
    <x v="2"/>
    <s v="STAFF-700"/>
    <n v="700"/>
    <x v="1"/>
    <x v="1"/>
    <x v="0"/>
    <s v="No"/>
    <s v="Y"/>
    <n v="0"/>
    <n v="-2"/>
    <n v="0"/>
    <n v="27"/>
    <n v="0"/>
    <m/>
    <n v="0"/>
    <n v="1"/>
    <n v="1115"/>
    <n v="3"/>
    <x v="2"/>
    <n v="1"/>
    <n v="1"/>
    <n v="54"/>
    <n v="2"/>
    <n v="1"/>
    <n v="4"/>
    <n v="2045"/>
    <n v="15174"/>
    <n v="0"/>
    <n v="13"/>
    <n v="3"/>
    <n v="4"/>
    <n v="80"/>
    <n v="0"/>
    <n v="5"/>
    <n v="3"/>
    <n v="4"/>
    <n v="2"/>
    <n v="1"/>
    <n v="1"/>
  </r>
  <r>
    <s v="Yes"/>
    <s v="Travel_Rarely"/>
    <x v="4"/>
    <s v="Ex-Employees"/>
    <x v="1"/>
    <x v="2"/>
    <s v="STAFF-701"/>
    <n v="701"/>
    <x v="1"/>
    <x v="1"/>
    <x v="0"/>
    <s v="Yes"/>
    <s v="Y"/>
    <n v="5"/>
    <n v="-2"/>
    <n v="0"/>
    <n v="20"/>
    <n v="1"/>
    <n v="1"/>
    <n v="1"/>
    <n v="0"/>
    <n v="1362"/>
    <n v="10"/>
    <x v="1"/>
    <n v="1"/>
    <n v="4"/>
    <n v="32"/>
    <n v="3"/>
    <n v="1"/>
    <n v="3"/>
    <n v="1009"/>
    <n v="26999"/>
    <n v="1"/>
    <n v="11"/>
    <n v="3"/>
    <n v="4"/>
    <n v="80"/>
    <n v="0"/>
    <n v="1"/>
    <n v="3"/>
    <n v="1"/>
    <n v="0"/>
    <n v="1"/>
    <n v="1"/>
  </r>
  <r>
    <s v="Yes"/>
    <s v="Travel_Frequently"/>
    <x v="2"/>
    <s v="Ex-Employees"/>
    <x v="1"/>
    <x v="0"/>
    <s v="STAFF-702"/>
    <n v="702"/>
    <x v="1"/>
    <x v="1"/>
    <x v="0"/>
    <s v="Yes"/>
    <s v="Y"/>
    <n v="3"/>
    <n v="-2"/>
    <n v="0"/>
    <n v="33"/>
    <n v="1"/>
    <n v="1"/>
    <n v="1"/>
    <n v="0"/>
    <n v="1076"/>
    <n v="3"/>
    <x v="3"/>
    <n v="1"/>
    <n v="1"/>
    <n v="70"/>
    <n v="3"/>
    <n v="1"/>
    <n v="2"/>
    <n v="3348"/>
    <n v="3164"/>
    <n v="1"/>
    <n v="11"/>
    <n v="3"/>
    <n v="1"/>
    <n v="80"/>
    <n v="0"/>
    <n v="10"/>
    <n v="3"/>
    <n v="10"/>
    <n v="8"/>
    <n v="9"/>
    <n v="7"/>
  </r>
  <r>
    <s v="No"/>
    <s v="Non-Travel"/>
    <x v="0"/>
    <s v="Current Employees"/>
    <x v="1"/>
    <x v="0"/>
    <s v="STAFF-704"/>
    <n v="704"/>
    <x v="1"/>
    <x v="2"/>
    <x v="1"/>
    <s v="No"/>
    <s v="Y"/>
    <n v="3"/>
    <n v="-2"/>
    <n v="0"/>
    <n v="35"/>
    <n v="0"/>
    <m/>
    <n v="0"/>
    <n v="1"/>
    <n v="727"/>
    <n v="3"/>
    <x v="3"/>
    <n v="1"/>
    <n v="3"/>
    <n v="41"/>
    <n v="2"/>
    <n v="1"/>
    <n v="2"/>
    <n v="1281"/>
    <n v="16900"/>
    <n v="1"/>
    <n v="18"/>
    <n v="3"/>
    <n v="3"/>
    <n v="80"/>
    <n v="2"/>
    <n v="1"/>
    <n v="3"/>
    <n v="1"/>
    <n v="0"/>
    <n v="0"/>
    <n v="0"/>
  </r>
  <r>
    <s v="No"/>
    <s v="Travel_Rarely"/>
    <x v="4"/>
    <s v="Current Employees"/>
    <x v="1"/>
    <x v="2"/>
    <s v="STAFF-705"/>
    <n v="705"/>
    <x v="1"/>
    <x v="1"/>
    <x v="1"/>
    <s v="No"/>
    <s v="Y"/>
    <n v="3"/>
    <n v="-2"/>
    <n v="0"/>
    <n v="23"/>
    <n v="0"/>
    <m/>
    <n v="0"/>
    <n v="1"/>
    <n v="885"/>
    <n v="4"/>
    <x v="3"/>
    <n v="1"/>
    <n v="1"/>
    <n v="58"/>
    <n v="4"/>
    <n v="1"/>
    <n v="3"/>
    <n v="2819"/>
    <n v="8544"/>
    <n v="2"/>
    <n v="16"/>
    <n v="3"/>
    <n v="1"/>
    <n v="80"/>
    <n v="1"/>
    <n v="5"/>
    <n v="4"/>
    <n v="3"/>
    <n v="2"/>
    <n v="0"/>
    <n v="2"/>
  </r>
  <r>
    <s v="No"/>
    <s v="Travel_Rarely"/>
    <x v="2"/>
    <s v="Current Employees"/>
    <x v="0"/>
    <x v="0"/>
    <s v="STAFF-707"/>
    <n v="707"/>
    <x v="1"/>
    <x v="0"/>
    <x v="1"/>
    <s v="No"/>
    <s v="Y"/>
    <n v="4"/>
    <n v="-2"/>
    <n v="0"/>
    <n v="25"/>
    <n v="0"/>
    <m/>
    <n v="0"/>
    <n v="1"/>
    <n v="810"/>
    <n v="8"/>
    <x v="3"/>
    <n v="1"/>
    <n v="4"/>
    <n v="57"/>
    <n v="4"/>
    <n v="2"/>
    <n v="2"/>
    <n v="4851"/>
    <n v="15678"/>
    <n v="0"/>
    <n v="22"/>
    <n v="4"/>
    <n v="3"/>
    <n v="80"/>
    <n v="1"/>
    <n v="4"/>
    <n v="3"/>
    <n v="3"/>
    <n v="2"/>
    <n v="1"/>
    <n v="2"/>
  </r>
  <r>
    <s v="No"/>
    <s v="Travel_Rarely"/>
    <x v="0"/>
    <s v="Current Employees"/>
    <x v="0"/>
    <x v="3"/>
    <s v="STAFF-709"/>
    <n v="709"/>
    <x v="0"/>
    <x v="0"/>
    <x v="0"/>
    <s v="No"/>
    <s v="Y"/>
    <n v="2"/>
    <n v="-2"/>
    <n v="0"/>
    <n v="38"/>
    <n v="0"/>
    <m/>
    <n v="0"/>
    <n v="1"/>
    <n v="243"/>
    <n v="7"/>
    <x v="2"/>
    <n v="1"/>
    <n v="4"/>
    <n v="46"/>
    <n v="2"/>
    <n v="2"/>
    <n v="1"/>
    <n v="4028"/>
    <n v="7791"/>
    <n v="0"/>
    <n v="20"/>
    <n v="4"/>
    <n v="1"/>
    <n v="80"/>
    <n v="0"/>
    <n v="8"/>
    <n v="3"/>
    <n v="7"/>
    <n v="7"/>
    <n v="0"/>
    <n v="5"/>
  </r>
  <r>
    <s v="No"/>
    <s v="Travel_Frequently"/>
    <x v="2"/>
    <s v="Current Employees"/>
    <x v="1"/>
    <x v="0"/>
    <s v="STAFF-710"/>
    <n v="710"/>
    <x v="1"/>
    <x v="1"/>
    <x v="2"/>
    <s v="No"/>
    <s v="Y"/>
    <n v="5"/>
    <n v="-2"/>
    <n v="0"/>
    <n v="29"/>
    <n v="0"/>
    <m/>
    <n v="0"/>
    <n v="1"/>
    <n v="806"/>
    <n v="1"/>
    <x v="2"/>
    <n v="1"/>
    <n v="2"/>
    <n v="76"/>
    <n v="1"/>
    <n v="1"/>
    <n v="4"/>
    <n v="2720"/>
    <n v="18959"/>
    <n v="1"/>
    <n v="18"/>
    <n v="3"/>
    <n v="4"/>
    <n v="80"/>
    <n v="1"/>
    <n v="10"/>
    <n v="3"/>
    <n v="10"/>
    <n v="7"/>
    <n v="2"/>
    <n v="8"/>
  </r>
  <r>
    <s v="No"/>
    <s v="Travel_Rarely"/>
    <x v="1"/>
    <s v="Current Employees"/>
    <x v="0"/>
    <x v="3"/>
    <s v="STAFF-712"/>
    <n v="712"/>
    <x v="1"/>
    <x v="0"/>
    <x v="1"/>
    <s v="No"/>
    <s v="Y"/>
    <n v="3"/>
    <n v="-2"/>
    <n v="0"/>
    <n v="48"/>
    <n v="0"/>
    <m/>
    <n v="0"/>
    <n v="1"/>
    <n v="817"/>
    <n v="2"/>
    <x v="1"/>
    <n v="1"/>
    <n v="2"/>
    <n v="56"/>
    <n v="4"/>
    <n v="2"/>
    <n v="1"/>
    <n v="8120"/>
    <n v="18597"/>
    <n v="3"/>
    <n v="12"/>
    <n v="3"/>
    <n v="4"/>
    <n v="80"/>
    <n v="0"/>
    <n v="12"/>
    <n v="3"/>
    <n v="2"/>
    <n v="2"/>
    <n v="2"/>
    <n v="2"/>
  </r>
  <r>
    <s v="No"/>
    <s v="Travel_Frequently"/>
    <x v="2"/>
    <s v="Current Employees"/>
    <x v="0"/>
    <x v="2"/>
    <s v="STAFF-714"/>
    <n v="714"/>
    <x v="0"/>
    <x v="0"/>
    <x v="2"/>
    <s v="Yes"/>
    <s v="Y"/>
    <n v="3"/>
    <n v="-2"/>
    <n v="0"/>
    <n v="27"/>
    <n v="0"/>
    <m/>
    <n v="0"/>
    <n v="1"/>
    <n v="1410"/>
    <n v="3"/>
    <x v="1"/>
    <n v="1"/>
    <n v="4"/>
    <n v="71"/>
    <n v="4"/>
    <n v="2"/>
    <n v="4"/>
    <n v="4647"/>
    <n v="16673"/>
    <n v="1"/>
    <n v="20"/>
    <n v="4"/>
    <n v="2"/>
    <n v="80"/>
    <n v="2"/>
    <n v="6"/>
    <n v="3"/>
    <n v="6"/>
    <n v="5"/>
    <n v="0"/>
    <n v="4"/>
  </r>
  <r>
    <s v="No"/>
    <s v="Travel_Rarely"/>
    <x v="0"/>
    <s v="Current Employees"/>
    <x v="1"/>
    <x v="0"/>
    <s v="STAFF-715"/>
    <n v="715"/>
    <x v="1"/>
    <x v="1"/>
    <x v="0"/>
    <s v="No"/>
    <s v="Y"/>
    <n v="2"/>
    <n v="-2"/>
    <n v="0"/>
    <n v="37"/>
    <n v="0"/>
    <m/>
    <n v="0"/>
    <n v="1"/>
    <n v="1225"/>
    <n v="10"/>
    <x v="0"/>
    <n v="1"/>
    <n v="4"/>
    <n v="80"/>
    <n v="4"/>
    <n v="1"/>
    <n v="4"/>
    <n v="4680"/>
    <n v="15232"/>
    <n v="3"/>
    <n v="17"/>
    <n v="3"/>
    <n v="1"/>
    <n v="80"/>
    <n v="0"/>
    <n v="4"/>
    <n v="3"/>
    <n v="1"/>
    <n v="0"/>
    <n v="0"/>
    <n v="0"/>
  </r>
  <r>
    <s v="No"/>
    <s v="Travel_Rarely"/>
    <x v="1"/>
    <s v="Current Employees"/>
    <x v="1"/>
    <x v="2"/>
    <s v="STAFF-716"/>
    <n v="716"/>
    <x v="1"/>
    <x v="2"/>
    <x v="1"/>
    <s v="Yes"/>
    <s v="Y"/>
    <n v="3"/>
    <n v="-2"/>
    <n v="0"/>
    <n v="50"/>
    <n v="0"/>
    <m/>
    <n v="0"/>
    <n v="1"/>
    <n v="1207"/>
    <n v="28"/>
    <x v="1"/>
    <n v="1"/>
    <n v="4"/>
    <n v="74"/>
    <n v="4"/>
    <n v="1"/>
    <n v="3"/>
    <n v="3221"/>
    <n v="3297"/>
    <n v="1"/>
    <n v="11"/>
    <n v="3"/>
    <n v="3"/>
    <n v="80"/>
    <n v="3"/>
    <n v="20"/>
    <n v="3"/>
    <n v="20"/>
    <n v="8"/>
    <n v="3"/>
    <n v="8"/>
  </r>
  <r>
    <s v="No"/>
    <s v="Travel_Rarely"/>
    <x v="2"/>
    <s v="Current Employees"/>
    <x v="1"/>
    <x v="2"/>
    <s v="STAFF-717"/>
    <n v="717"/>
    <x v="0"/>
    <x v="4"/>
    <x v="0"/>
    <s v="No"/>
    <s v="Y"/>
    <n v="3"/>
    <n v="-2"/>
    <n v="0"/>
    <n v="34"/>
    <n v="0"/>
    <m/>
    <n v="0"/>
    <n v="1"/>
    <n v="1442"/>
    <n v="9"/>
    <x v="3"/>
    <n v="1"/>
    <n v="4"/>
    <n v="46"/>
    <n v="2"/>
    <n v="3"/>
    <n v="3"/>
    <n v="8621"/>
    <n v="17654"/>
    <n v="1"/>
    <n v="14"/>
    <n v="3"/>
    <n v="2"/>
    <n v="80"/>
    <n v="0"/>
    <n v="9"/>
    <n v="4"/>
    <n v="8"/>
    <n v="7"/>
    <n v="7"/>
    <n v="7"/>
  </r>
  <r>
    <s v="Yes"/>
    <s v="Travel_Rarely"/>
    <x v="4"/>
    <s v="Ex-Employees"/>
    <x v="0"/>
    <x v="0"/>
    <s v="STAFF-720"/>
    <n v="720"/>
    <x v="0"/>
    <x v="0"/>
    <x v="0"/>
    <s v="No"/>
    <s v="Y"/>
    <n v="3"/>
    <n v="-2"/>
    <n v="0"/>
    <n v="24"/>
    <n v="1"/>
    <n v="1"/>
    <n v="1"/>
    <n v="0"/>
    <n v="693"/>
    <n v="3"/>
    <x v="0"/>
    <n v="1"/>
    <n v="1"/>
    <n v="65"/>
    <n v="3"/>
    <n v="2"/>
    <n v="3"/>
    <n v="4577"/>
    <n v="24785"/>
    <n v="9"/>
    <n v="14"/>
    <n v="3"/>
    <n v="1"/>
    <n v="80"/>
    <n v="0"/>
    <n v="4"/>
    <n v="3"/>
    <n v="2"/>
    <n v="2"/>
    <n v="2"/>
    <n v="0"/>
  </r>
  <r>
    <s v="No"/>
    <s v="Travel_Rarely"/>
    <x v="0"/>
    <s v="Current Employees"/>
    <x v="1"/>
    <x v="4"/>
    <s v="STAFF-721"/>
    <n v="721"/>
    <x v="0"/>
    <x v="4"/>
    <x v="0"/>
    <s v="No"/>
    <s v="Y"/>
    <n v="4"/>
    <n v="-2"/>
    <n v="0"/>
    <n v="39"/>
    <n v="0"/>
    <m/>
    <n v="0"/>
    <n v="1"/>
    <n v="408"/>
    <n v="2"/>
    <x v="2"/>
    <n v="1"/>
    <n v="4"/>
    <n v="80"/>
    <n v="2"/>
    <n v="2"/>
    <n v="4"/>
    <n v="4553"/>
    <n v="20978"/>
    <n v="1"/>
    <n v="11"/>
    <n v="3"/>
    <n v="1"/>
    <n v="80"/>
    <n v="0"/>
    <n v="20"/>
    <n v="3"/>
    <n v="20"/>
    <n v="7"/>
    <n v="11"/>
    <n v="10"/>
  </r>
  <r>
    <s v="No"/>
    <s v="Travel_Rarely"/>
    <x v="2"/>
    <s v="Current Employees"/>
    <x v="0"/>
    <x v="3"/>
    <s v="STAFF-722"/>
    <n v="722"/>
    <x v="1"/>
    <x v="0"/>
    <x v="0"/>
    <s v="No"/>
    <s v="Y"/>
    <n v="2"/>
    <n v="-2"/>
    <n v="0"/>
    <n v="32"/>
    <n v="0"/>
    <m/>
    <n v="0"/>
    <n v="1"/>
    <n v="929"/>
    <n v="10"/>
    <x v="3"/>
    <n v="1"/>
    <n v="4"/>
    <n v="55"/>
    <n v="3"/>
    <n v="2"/>
    <n v="1"/>
    <n v="5396"/>
    <n v="21703"/>
    <n v="1"/>
    <n v="12"/>
    <n v="3"/>
    <n v="4"/>
    <n v="80"/>
    <n v="0"/>
    <n v="10"/>
    <n v="2"/>
    <n v="10"/>
    <n v="7"/>
    <n v="0"/>
    <n v="8"/>
  </r>
  <r>
    <s v="Yes"/>
    <s v="Travel_Frequently"/>
    <x v="1"/>
    <s v="Ex-Employees"/>
    <x v="0"/>
    <x v="4"/>
    <s v="STAFF-723"/>
    <n v="723"/>
    <x v="1"/>
    <x v="0"/>
    <x v="1"/>
    <s v="Yes"/>
    <s v="Y"/>
    <n v="4"/>
    <n v="-2"/>
    <n v="0"/>
    <n v="50"/>
    <n v="1"/>
    <n v="1"/>
    <n v="1"/>
    <n v="0"/>
    <n v="562"/>
    <n v="8"/>
    <x v="0"/>
    <n v="1"/>
    <n v="4"/>
    <n v="50"/>
    <n v="3"/>
    <n v="2"/>
    <n v="4"/>
    <n v="6796"/>
    <n v="23452"/>
    <n v="3"/>
    <n v="14"/>
    <n v="3"/>
    <n v="1"/>
    <n v="80"/>
    <n v="1"/>
    <n v="18"/>
    <n v="3"/>
    <n v="4"/>
    <n v="3"/>
    <n v="1"/>
    <n v="3"/>
  </r>
  <r>
    <s v="No"/>
    <s v="Travel_Rarely"/>
    <x v="0"/>
    <s v="Current Employees"/>
    <x v="1"/>
    <x v="0"/>
    <s v="STAFF-724"/>
    <n v="724"/>
    <x v="0"/>
    <x v="4"/>
    <x v="0"/>
    <s v="No"/>
    <s v="Y"/>
    <n v="4"/>
    <n v="-2"/>
    <n v="0"/>
    <n v="38"/>
    <n v="0"/>
    <m/>
    <n v="0"/>
    <n v="1"/>
    <n v="827"/>
    <n v="1"/>
    <x v="2"/>
    <n v="1"/>
    <n v="2"/>
    <n v="33"/>
    <n v="4"/>
    <n v="2"/>
    <n v="4"/>
    <n v="7625"/>
    <n v="19383"/>
    <n v="0"/>
    <n v="13"/>
    <n v="3"/>
    <n v="3"/>
    <n v="80"/>
    <n v="0"/>
    <n v="10"/>
    <n v="2"/>
    <n v="9"/>
    <n v="7"/>
    <n v="1"/>
    <n v="8"/>
  </r>
  <r>
    <s v="No"/>
    <s v="Travel_Rarely"/>
    <x v="2"/>
    <s v="Current Employees"/>
    <x v="1"/>
    <x v="0"/>
    <s v="STAFF-725"/>
    <n v="725"/>
    <x v="0"/>
    <x v="3"/>
    <x v="1"/>
    <s v="No"/>
    <s v="Y"/>
    <n v="3"/>
    <n v="-2"/>
    <n v="0"/>
    <n v="27"/>
    <n v="0"/>
    <m/>
    <n v="0"/>
    <n v="1"/>
    <n v="608"/>
    <n v="1"/>
    <x v="0"/>
    <n v="1"/>
    <n v="3"/>
    <n v="68"/>
    <n v="3"/>
    <n v="3"/>
    <n v="3"/>
    <n v="7412"/>
    <n v="6009"/>
    <n v="1"/>
    <n v="11"/>
    <n v="3"/>
    <n v="4"/>
    <n v="80"/>
    <n v="0"/>
    <n v="9"/>
    <n v="3"/>
    <n v="9"/>
    <n v="7"/>
    <n v="0"/>
    <n v="7"/>
  </r>
  <r>
    <s v="No"/>
    <s v="Travel_Rarely"/>
    <x v="2"/>
    <s v="Current Employees"/>
    <x v="1"/>
    <x v="0"/>
    <s v="STAFF-727"/>
    <n v="727"/>
    <x v="0"/>
    <x v="7"/>
    <x v="0"/>
    <s v="No"/>
    <s v="Y"/>
    <n v="6"/>
    <n v="-2"/>
    <n v="0"/>
    <n v="32"/>
    <n v="0"/>
    <m/>
    <n v="0"/>
    <n v="1"/>
    <n v="1018"/>
    <n v="3"/>
    <x v="0"/>
    <n v="1"/>
    <n v="3"/>
    <n v="39"/>
    <n v="3"/>
    <n v="3"/>
    <n v="4"/>
    <n v="11159"/>
    <n v="19373"/>
    <n v="3"/>
    <n v="15"/>
    <n v="3"/>
    <n v="4"/>
    <n v="80"/>
    <n v="0"/>
    <n v="10"/>
    <n v="3"/>
    <n v="7"/>
    <n v="7"/>
    <n v="7"/>
    <n v="7"/>
  </r>
  <r>
    <s v="No"/>
    <s v="Travel_Rarely"/>
    <x v="1"/>
    <s v="Current Employees"/>
    <x v="0"/>
    <x v="3"/>
    <s v="STAFF-728"/>
    <n v="728"/>
    <x v="1"/>
    <x v="0"/>
    <x v="0"/>
    <s v="No"/>
    <s v="Y"/>
    <n v="2"/>
    <n v="-2"/>
    <n v="0"/>
    <n v="47"/>
    <n v="0"/>
    <m/>
    <n v="0"/>
    <n v="1"/>
    <n v="703"/>
    <n v="14"/>
    <x v="2"/>
    <n v="1"/>
    <n v="4"/>
    <n v="42"/>
    <n v="3"/>
    <n v="2"/>
    <n v="1"/>
    <n v="4960"/>
    <n v="11825"/>
    <n v="2"/>
    <n v="12"/>
    <n v="3"/>
    <n v="4"/>
    <n v="80"/>
    <n v="0"/>
    <n v="20"/>
    <n v="3"/>
    <n v="7"/>
    <n v="7"/>
    <n v="1"/>
    <n v="7"/>
  </r>
  <r>
    <s v="No"/>
    <s v="Travel_Frequently"/>
    <x v="0"/>
    <s v="Current Employees"/>
    <x v="0"/>
    <x v="0"/>
    <s v="STAFF-729"/>
    <n v="729"/>
    <x v="1"/>
    <x v="0"/>
    <x v="1"/>
    <s v="Yes"/>
    <s v="Y"/>
    <n v="2"/>
    <n v="-2"/>
    <n v="0"/>
    <n v="40"/>
    <n v="0"/>
    <m/>
    <n v="0"/>
    <n v="1"/>
    <n v="580"/>
    <n v="5"/>
    <x v="2"/>
    <n v="1"/>
    <n v="4"/>
    <n v="48"/>
    <n v="2"/>
    <n v="3"/>
    <n v="3"/>
    <n v="10475"/>
    <n v="23772"/>
    <n v="5"/>
    <n v="21"/>
    <n v="4"/>
    <n v="3"/>
    <n v="80"/>
    <n v="1"/>
    <n v="20"/>
    <n v="3"/>
    <n v="18"/>
    <n v="13"/>
    <n v="1"/>
    <n v="12"/>
  </r>
  <r>
    <s v="No"/>
    <s v="Travel_Rarely"/>
    <x v="1"/>
    <s v="Current Employees"/>
    <x v="1"/>
    <x v="0"/>
    <s v="STAFF-730"/>
    <n v="730"/>
    <x v="1"/>
    <x v="7"/>
    <x v="1"/>
    <s v="No"/>
    <s v="Y"/>
    <n v="3"/>
    <n v="-2"/>
    <n v="0"/>
    <n v="53"/>
    <n v="0"/>
    <m/>
    <n v="0"/>
    <n v="1"/>
    <n v="970"/>
    <n v="7"/>
    <x v="3"/>
    <n v="1"/>
    <n v="3"/>
    <n v="59"/>
    <n v="4"/>
    <n v="4"/>
    <n v="3"/>
    <n v="14814"/>
    <n v="13514"/>
    <n v="3"/>
    <n v="19"/>
    <n v="3"/>
    <n v="3"/>
    <n v="80"/>
    <n v="0"/>
    <n v="32"/>
    <n v="3"/>
    <n v="5"/>
    <n v="1"/>
    <n v="1"/>
    <n v="3"/>
  </r>
  <r>
    <s v="No"/>
    <s v="Travel_Rarely"/>
    <x v="0"/>
    <s v="Current Employees"/>
    <x v="2"/>
    <x v="5"/>
    <s v="STAFF-731"/>
    <n v="731"/>
    <x v="1"/>
    <x v="5"/>
    <x v="2"/>
    <s v="No"/>
    <s v="Y"/>
    <n v="2"/>
    <n v="-2"/>
    <n v="0"/>
    <n v="41"/>
    <n v="0"/>
    <m/>
    <n v="0"/>
    <n v="1"/>
    <n v="427"/>
    <n v="10"/>
    <x v="2"/>
    <n v="1"/>
    <n v="2"/>
    <n v="73"/>
    <n v="2"/>
    <n v="5"/>
    <n v="4"/>
    <n v="19141"/>
    <n v="8861"/>
    <n v="3"/>
    <n v="15"/>
    <n v="3"/>
    <n v="2"/>
    <n v="80"/>
    <n v="3"/>
    <n v="23"/>
    <n v="2"/>
    <n v="21"/>
    <n v="6"/>
    <n v="12"/>
    <n v="6"/>
  </r>
  <r>
    <s v="No"/>
    <s v="Travel_Rarely"/>
    <x v="3"/>
    <s v="Current Employees"/>
    <x v="0"/>
    <x v="3"/>
    <s v="STAFF-732"/>
    <n v="732"/>
    <x v="1"/>
    <x v="0"/>
    <x v="0"/>
    <s v="No"/>
    <s v="Y"/>
    <n v="1"/>
    <n v="-2"/>
    <n v="0"/>
    <n v="60"/>
    <n v="0"/>
    <m/>
    <n v="0"/>
    <n v="1"/>
    <n v="1179"/>
    <n v="16"/>
    <x v="2"/>
    <n v="1"/>
    <n v="1"/>
    <n v="84"/>
    <n v="3"/>
    <n v="2"/>
    <n v="1"/>
    <n v="5405"/>
    <n v="11924"/>
    <n v="8"/>
    <n v="14"/>
    <n v="3"/>
    <n v="4"/>
    <n v="80"/>
    <n v="0"/>
    <n v="10"/>
    <n v="3"/>
    <n v="2"/>
    <n v="2"/>
    <n v="2"/>
    <n v="2"/>
  </r>
  <r>
    <s v="No"/>
    <s v="Travel_Frequently"/>
    <x v="2"/>
    <s v="Current Employees"/>
    <x v="1"/>
    <x v="0"/>
    <s v="STAFF-733"/>
    <n v="733"/>
    <x v="1"/>
    <x v="3"/>
    <x v="2"/>
    <s v="No"/>
    <s v="Y"/>
    <n v="4"/>
    <n v="-2"/>
    <n v="0"/>
    <n v="27"/>
    <n v="0"/>
    <m/>
    <n v="0"/>
    <n v="1"/>
    <n v="294"/>
    <n v="10"/>
    <x v="0"/>
    <n v="1"/>
    <n v="4"/>
    <n v="32"/>
    <n v="3"/>
    <n v="3"/>
    <n v="3"/>
    <n v="8793"/>
    <n v="4809"/>
    <n v="1"/>
    <n v="21"/>
    <n v="4"/>
    <n v="3"/>
    <n v="80"/>
    <n v="2"/>
    <n v="9"/>
    <n v="2"/>
    <n v="9"/>
    <n v="7"/>
    <n v="1"/>
    <n v="7"/>
  </r>
  <r>
    <s v="No"/>
    <s v="Travel_Rarely"/>
    <x v="0"/>
    <s v="Current Employees"/>
    <x v="2"/>
    <x v="5"/>
    <s v="STAFF-734"/>
    <n v="734"/>
    <x v="1"/>
    <x v="5"/>
    <x v="1"/>
    <s v="No"/>
    <s v="Y"/>
    <n v="3"/>
    <n v="-2"/>
    <n v="0"/>
    <n v="41"/>
    <n v="0"/>
    <m/>
    <n v="0"/>
    <n v="1"/>
    <n v="314"/>
    <n v="1"/>
    <x v="3"/>
    <n v="1"/>
    <n v="4"/>
    <n v="59"/>
    <n v="2"/>
    <n v="5"/>
    <n v="3"/>
    <n v="19189"/>
    <n v="19562"/>
    <n v="1"/>
    <n v="12"/>
    <n v="3"/>
    <n v="2"/>
    <n v="80"/>
    <n v="1"/>
    <n v="22"/>
    <n v="3"/>
    <n v="22"/>
    <n v="7"/>
    <n v="2"/>
    <n v="10"/>
  </r>
  <r>
    <s v="No"/>
    <s v="Travel_Rarely"/>
    <x v="1"/>
    <s v="Current Employees"/>
    <x v="0"/>
    <x v="3"/>
    <s v="STAFF-738"/>
    <n v="738"/>
    <x v="1"/>
    <x v="6"/>
    <x v="1"/>
    <s v="No"/>
    <s v="Y"/>
    <n v="2"/>
    <n v="-2"/>
    <n v="0"/>
    <n v="50"/>
    <n v="0"/>
    <m/>
    <n v="0"/>
    <n v="1"/>
    <n v="316"/>
    <n v="8"/>
    <x v="2"/>
    <n v="1"/>
    <n v="4"/>
    <n v="54"/>
    <n v="3"/>
    <n v="1"/>
    <n v="1"/>
    <n v="3875"/>
    <n v="9983"/>
    <n v="7"/>
    <n v="15"/>
    <n v="3"/>
    <n v="4"/>
    <n v="80"/>
    <n v="1"/>
    <n v="4"/>
    <n v="3"/>
    <n v="2"/>
    <n v="2"/>
    <n v="2"/>
    <n v="2"/>
  </r>
  <r>
    <s v="Yes"/>
    <s v="Travel_Rarely"/>
    <x v="2"/>
    <s v="Ex-Employees"/>
    <x v="1"/>
    <x v="0"/>
    <s v="STAFF-741"/>
    <n v="741"/>
    <x v="0"/>
    <x v="1"/>
    <x v="0"/>
    <s v="Yes"/>
    <s v="Y"/>
    <n v="4"/>
    <n v="-2"/>
    <n v="0"/>
    <n v="28"/>
    <n v="1"/>
    <n v="1"/>
    <n v="1"/>
    <n v="0"/>
    <n v="654"/>
    <n v="1"/>
    <x v="0"/>
    <n v="1"/>
    <n v="1"/>
    <n v="67"/>
    <n v="1"/>
    <n v="1"/>
    <n v="3"/>
    <n v="2216"/>
    <n v="3872"/>
    <n v="7"/>
    <n v="13"/>
    <n v="3"/>
    <n v="4"/>
    <n v="80"/>
    <n v="0"/>
    <n v="10"/>
    <n v="3"/>
    <n v="7"/>
    <n v="7"/>
    <n v="3"/>
    <n v="7"/>
  </r>
  <r>
    <s v="No"/>
    <s v="Non-Travel"/>
    <x v="0"/>
    <s v="Current Employees"/>
    <x v="1"/>
    <x v="0"/>
    <s v="STAFF-742"/>
    <n v="742"/>
    <x v="0"/>
    <x v="7"/>
    <x v="1"/>
    <s v="No"/>
    <s v="Y"/>
    <n v="2"/>
    <n v="-2"/>
    <n v="0"/>
    <n v="36"/>
    <n v="0"/>
    <m/>
    <n v="0"/>
    <n v="1"/>
    <n v="427"/>
    <n v="8"/>
    <x v="3"/>
    <n v="1"/>
    <n v="1"/>
    <n v="63"/>
    <n v="4"/>
    <n v="3"/>
    <n v="3"/>
    <n v="11713"/>
    <n v="20335"/>
    <n v="9"/>
    <n v="14"/>
    <n v="3"/>
    <n v="1"/>
    <n v="80"/>
    <n v="1"/>
    <n v="10"/>
    <n v="3"/>
    <n v="8"/>
    <n v="7"/>
    <n v="0"/>
    <n v="5"/>
  </r>
  <r>
    <s v="No"/>
    <s v="Travel_Rarely"/>
    <x v="0"/>
    <s v="Current Employees"/>
    <x v="1"/>
    <x v="0"/>
    <s v="STAFF-743"/>
    <n v="743"/>
    <x v="0"/>
    <x v="3"/>
    <x v="0"/>
    <s v="Yes"/>
    <s v="Y"/>
    <n v="4"/>
    <n v="-2"/>
    <n v="0"/>
    <n v="38"/>
    <n v="0"/>
    <m/>
    <n v="0"/>
    <n v="1"/>
    <n v="168"/>
    <n v="1"/>
    <x v="3"/>
    <n v="1"/>
    <n v="3"/>
    <n v="81"/>
    <n v="3"/>
    <n v="3"/>
    <n v="3"/>
    <n v="7861"/>
    <n v="15397"/>
    <n v="4"/>
    <n v="14"/>
    <n v="3"/>
    <n v="4"/>
    <n v="80"/>
    <n v="0"/>
    <n v="10"/>
    <n v="4"/>
    <n v="1"/>
    <n v="0"/>
    <n v="0"/>
    <n v="0"/>
  </r>
  <r>
    <s v="No"/>
    <s v="Non-Travel"/>
    <x v="0"/>
    <s v="Current Employees"/>
    <x v="1"/>
    <x v="2"/>
    <s v="STAFF-744"/>
    <n v="744"/>
    <x v="1"/>
    <x v="2"/>
    <x v="0"/>
    <s v="No"/>
    <s v="Y"/>
    <n v="5"/>
    <n v="-2"/>
    <n v="0"/>
    <n v="44"/>
    <n v="0"/>
    <m/>
    <n v="0"/>
    <n v="1"/>
    <n v="381"/>
    <n v="24"/>
    <x v="3"/>
    <n v="1"/>
    <n v="1"/>
    <n v="49"/>
    <n v="1"/>
    <n v="1"/>
    <n v="3"/>
    <n v="3708"/>
    <n v="2104"/>
    <n v="2"/>
    <n v="14"/>
    <n v="3"/>
    <n v="3"/>
    <n v="80"/>
    <n v="0"/>
    <n v="9"/>
    <n v="3"/>
    <n v="5"/>
    <n v="2"/>
    <n v="1"/>
    <n v="4"/>
  </r>
  <r>
    <s v="No"/>
    <s v="Travel_Frequently"/>
    <x v="1"/>
    <s v="Current Employees"/>
    <x v="0"/>
    <x v="2"/>
    <s v="STAFF-746"/>
    <n v="746"/>
    <x v="0"/>
    <x v="0"/>
    <x v="2"/>
    <s v="Yes"/>
    <s v="Y"/>
    <n v="2"/>
    <n v="-2"/>
    <n v="0"/>
    <n v="47"/>
    <n v="0"/>
    <m/>
    <n v="0"/>
    <n v="1"/>
    <n v="217"/>
    <n v="3"/>
    <x v="3"/>
    <n v="1"/>
    <n v="4"/>
    <n v="49"/>
    <n v="3"/>
    <n v="4"/>
    <n v="3"/>
    <n v="13770"/>
    <n v="10225"/>
    <n v="9"/>
    <n v="12"/>
    <n v="3"/>
    <n v="4"/>
    <n v="80"/>
    <n v="2"/>
    <n v="28"/>
    <n v="2"/>
    <n v="22"/>
    <n v="2"/>
    <n v="11"/>
    <n v="13"/>
  </r>
  <r>
    <s v="No"/>
    <s v="Travel_Rarely"/>
    <x v="2"/>
    <s v="Current Employees"/>
    <x v="0"/>
    <x v="3"/>
    <s v="STAFF-747"/>
    <n v="747"/>
    <x v="1"/>
    <x v="0"/>
    <x v="2"/>
    <s v="No"/>
    <s v="Y"/>
    <n v="2"/>
    <n v="-2"/>
    <n v="0"/>
    <n v="30"/>
    <n v="0"/>
    <m/>
    <n v="0"/>
    <n v="1"/>
    <n v="501"/>
    <n v="27"/>
    <x v="4"/>
    <n v="1"/>
    <n v="3"/>
    <n v="99"/>
    <n v="3"/>
    <n v="2"/>
    <n v="1"/>
    <n v="5304"/>
    <n v="25275"/>
    <n v="7"/>
    <n v="23"/>
    <n v="4"/>
    <n v="4"/>
    <n v="80"/>
    <n v="1"/>
    <n v="10"/>
    <n v="2"/>
    <n v="8"/>
    <n v="7"/>
    <n v="7"/>
    <n v="7"/>
  </r>
  <r>
    <s v="No"/>
    <s v="Travel_Rarely"/>
    <x v="2"/>
    <s v="Current Employees"/>
    <x v="0"/>
    <x v="0"/>
    <s v="STAFF-749"/>
    <n v="749"/>
    <x v="1"/>
    <x v="6"/>
    <x v="0"/>
    <s v="No"/>
    <s v="Y"/>
    <n v="6"/>
    <n v="-2"/>
    <n v="0"/>
    <n v="29"/>
    <n v="0"/>
    <m/>
    <n v="0"/>
    <n v="1"/>
    <n v="1396"/>
    <n v="10"/>
    <x v="3"/>
    <n v="1"/>
    <n v="3"/>
    <n v="99"/>
    <n v="3"/>
    <n v="1"/>
    <n v="3"/>
    <n v="2642"/>
    <n v="2755"/>
    <n v="1"/>
    <n v="11"/>
    <n v="3"/>
    <n v="3"/>
    <n v="80"/>
    <n v="0"/>
    <n v="1"/>
    <n v="3"/>
    <n v="1"/>
    <n v="0"/>
    <n v="0"/>
    <n v="0"/>
  </r>
  <r>
    <s v="Yes"/>
    <s v="Travel_Frequently"/>
    <x v="0"/>
    <s v="Ex-Employees"/>
    <x v="1"/>
    <x v="2"/>
    <s v="STAFF-752"/>
    <n v="752"/>
    <x v="1"/>
    <x v="1"/>
    <x v="2"/>
    <s v="Yes"/>
    <s v="Y"/>
    <n v="2"/>
    <n v="-2"/>
    <n v="0"/>
    <n v="42"/>
    <n v="1"/>
    <n v="1"/>
    <n v="1"/>
    <n v="0"/>
    <n v="933"/>
    <n v="19"/>
    <x v="3"/>
    <n v="1"/>
    <n v="3"/>
    <n v="57"/>
    <n v="4"/>
    <n v="1"/>
    <n v="3"/>
    <n v="2759"/>
    <n v="20366"/>
    <n v="6"/>
    <n v="12"/>
    <n v="3"/>
    <n v="4"/>
    <n v="80"/>
    <n v="0"/>
    <n v="7"/>
    <n v="3"/>
    <n v="2"/>
    <n v="2"/>
    <n v="2"/>
    <n v="2"/>
  </r>
  <r>
    <s v="No"/>
    <s v="Travel_Frequently"/>
    <x v="0"/>
    <s v="Current Employees"/>
    <x v="0"/>
    <x v="0"/>
    <s v="STAFF-754"/>
    <n v="754"/>
    <x v="1"/>
    <x v="0"/>
    <x v="1"/>
    <s v="No"/>
    <s v="Y"/>
    <n v="5"/>
    <n v="-2"/>
    <n v="0"/>
    <n v="43"/>
    <n v="0"/>
    <m/>
    <n v="0"/>
    <n v="1"/>
    <n v="775"/>
    <n v="15"/>
    <x v="3"/>
    <n v="1"/>
    <n v="4"/>
    <n v="47"/>
    <n v="2"/>
    <n v="2"/>
    <n v="4"/>
    <n v="6804"/>
    <n v="23683"/>
    <n v="3"/>
    <n v="18"/>
    <n v="3"/>
    <n v="3"/>
    <n v="80"/>
    <n v="1"/>
    <n v="7"/>
    <n v="3"/>
    <n v="2"/>
    <n v="2"/>
    <n v="2"/>
    <n v="2"/>
  </r>
  <r>
    <s v="No"/>
    <s v="Travel_Rarely"/>
    <x v="2"/>
    <s v="Current Employees"/>
    <x v="1"/>
    <x v="2"/>
    <s v="STAFF-757"/>
    <n v="757"/>
    <x v="0"/>
    <x v="4"/>
    <x v="0"/>
    <s v="No"/>
    <s v="Y"/>
    <n v="2"/>
    <n v="-2"/>
    <n v="0"/>
    <n v="34"/>
    <n v="0"/>
    <m/>
    <n v="0"/>
    <n v="1"/>
    <n v="970"/>
    <n v="8"/>
    <x v="0"/>
    <n v="1"/>
    <n v="2"/>
    <n v="96"/>
    <n v="3"/>
    <n v="2"/>
    <n v="3"/>
    <n v="6142"/>
    <n v="7360"/>
    <n v="3"/>
    <n v="11"/>
    <n v="3"/>
    <n v="4"/>
    <n v="80"/>
    <n v="0"/>
    <n v="10"/>
    <n v="3"/>
    <n v="5"/>
    <n v="1"/>
    <n v="4"/>
    <n v="3"/>
  </r>
  <r>
    <s v="No"/>
    <s v="Travel_Rarely"/>
    <x v="4"/>
    <s v="Current Employees"/>
    <x v="1"/>
    <x v="2"/>
    <s v="STAFF-758"/>
    <n v="758"/>
    <x v="1"/>
    <x v="2"/>
    <x v="1"/>
    <s v="No"/>
    <s v="Y"/>
    <n v="2"/>
    <n v="-2"/>
    <n v="0"/>
    <n v="23"/>
    <n v="0"/>
    <m/>
    <n v="0"/>
    <n v="1"/>
    <n v="650"/>
    <n v="9"/>
    <x v="1"/>
    <n v="1"/>
    <n v="2"/>
    <n v="37"/>
    <n v="3"/>
    <n v="1"/>
    <n v="3"/>
    <n v="2500"/>
    <n v="4344"/>
    <n v="1"/>
    <n v="14"/>
    <n v="3"/>
    <n v="4"/>
    <n v="80"/>
    <n v="1"/>
    <n v="5"/>
    <n v="4"/>
    <n v="4"/>
    <n v="3"/>
    <n v="0"/>
    <n v="2"/>
  </r>
  <r>
    <s v="No"/>
    <s v="Travel_Rarely"/>
    <x v="0"/>
    <s v="Current Employees"/>
    <x v="2"/>
    <x v="5"/>
    <s v="STAFF-760"/>
    <n v="760"/>
    <x v="0"/>
    <x v="8"/>
    <x v="1"/>
    <s v="No"/>
    <s v="Y"/>
    <n v="3"/>
    <n v="-2"/>
    <n v="0"/>
    <n v="39"/>
    <n v="0"/>
    <m/>
    <n v="0"/>
    <n v="1"/>
    <n v="141"/>
    <n v="3"/>
    <x v="3"/>
    <n v="1"/>
    <n v="3"/>
    <n v="44"/>
    <n v="4"/>
    <n v="2"/>
    <n v="3"/>
    <n v="6389"/>
    <n v="18767"/>
    <n v="9"/>
    <n v="15"/>
    <n v="3"/>
    <n v="3"/>
    <n v="80"/>
    <n v="1"/>
    <n v="12"/>
    <n v="1"/>
    <n v="8"/>
    <n v="3"/>
    <n v="3"/>
    <n v="6"/>
  </r>
  <r>
    <s v="No"/>
    <s v="Travel_Rarely"/>
    <x v="3"/>
    <s v="Current Employees"/>
    <x v="1"/>
    <x v="2"/>
    <s v="STAFF-762"/>
    <n v="762"/>
    <x v="1"/>
    <x v="4"/>
    <x v="1"/>
    <s v="No"/>
    <s v="Y"/>
    <n v="1"/>
    <n v="-2"/>
    <n v="0"/>
    <n v="56"/>
    <n v="0"/>
    <m/>
    <n v="0"/>
    <n v="1"/>
    <n v="832"/>
    <n v="9"/>
    <x v="3"/>
    <n v="1"/>
    <n v="3"/>
    <n v="81"/>
    <n v="3"/>
    <n v="4"/>
    <n v="4"/>
    <n v="11103"/>
    <n v="20420"/>
    <n v="7"/>
    <n v="11"/>
    <n v="3"/>
    <n v="3"/>
    <n v="80"/>
    <n v="0"/>
    <n v="30"/>
    <n v="2"/>
    <n v="10"/>
    <n v="7"/>
    <n v="1"/>
    <n v="1"/>
  </r>
  <r>
    <s v="No"/>
    <s v="Travel_Rarely"/>
    <x v="0"/>
    <s v="Current Employees"/>
    <x v="1"/>
    <x v="2"/>
    <s v="STAFF-763"/>
    <n v="763"/>
    <x v="0"/>
    <x v="1"/>
    <x v="0"/>
    <s v="Yes"/>
    <s v="Y"/>
    <n v="2"/>
    <n v="-2"/>
    <n v="0"/>
    <n v="40"/>
    <n v="0"/>
    <m/>
    <n v="0"/>
    <n v="1"/>
    <n v="804"/>
    <n v="2"/>
    <x v="1"/>
    <n v="1"/>
    <n v="4"/>
    <n v="86"/>
    <n v="2"/>
    <n v="1"/>
    <n v="4"/>
    <n v="2342"/>
    <n v="22929"/>
    <n v="0"/>
    <n v="20"/>
    <n v="4"/>
    <n v="4"/>
    <n v="80"/>
    <n v="0"/>
    <n v="5"/>
    <n v="2"/>
    <n v="4"/>
    <n v="2"/>
    <n v="2"/>
    <n v="3"/>
  </r>
  <r>
    <s v="No"/>
    <s v="Travel_Rarely"/>
    <x v="2"/>
    <s v="Current Employees"/>
    <x v="1"/>
    <x v="2"/>
    <s v="STAFF-764"/>
    <n v="764"/>
    <x v="0"/>
    <x v="4"/>
    <x v="0"/>
    <s v="No"/>
    <s v="Y"/>
    <n v="2"/>
    <n v="-2"/>
    <n v="0"/>
    <n v="27"/>
    <n v="0"/>
    <m/>
    <n v="0"/>
    <n v="1"/>
    <n v="975"/>
    <n v="7"/>
    <x v="3"/>
    <n v="1"/>
    <n v="4"/>
    <n v="55"/>
    <n v="2"/>
    <n v="2"/>
    <n v="3"/>
    <n v="6811"/>
    <n v="23398"/>
    <n v="8"/>
    <n v="19"/>
    <n v="3"/>
    <n v="1"/>
    <n v="80"/>
    <n v="0"/>
    <n v="9"/>
    <n v="1"/>
    <n v="7"/>
    <n v="6"/>
    <n v="0"/>
    <n v="7"/>
  </r>
  <r>
    <s v="No"/>
    <s v="Travel_Rarely"/>
    <x v="2"/>
    <s v="Current Employees"/>
    <x v="0"/>
    <x v="3"/>
    <s v="STAFF-766"/>
    <n v="766"/>
    <x v="1"/>
    <x v="6"/>
    <x v="2"/>
    <s v="No"/>
    <s v="Y"/>
    <n v="2"/>
    <n v="-2"/>
    <n v="0"/>
    <n v="29"/>
    <n v="0"/>
    <m/>
    <n v="0"/>
    <n v="1"/>
    <n v="1090"/>
    <n v="10"/>
    <x v="3"/>
    <n v="1"/>
    <n v="4"/>
    <n v="83"/>
    <n v="3"/>
    <n v="1"/>
    <n v="2"/>
    <n v="2297"/>
    <n v="17967"/>
    <n v="1"/>
    <n v="14"/>
    <n v="3"/>
    <n v="4"/>
    <n v="80"/>
    <n v="2"/>
    <n v="2"/>
    <n v="3"/>
    <n v="2"/>
    <n v="2"/>
    <n v="2"/>
    <n v="2"/>
  </r>
  <r>
    <s v="No"/>
    <s v="Travel_Rarely"/>
    <x v="1"/>
    <s v="Current Employees"/>
    <x v="1"/>
    <x v="0"/>
    <s v="STAFF-769"/>
    <n v="769"/>
    <x v="1"/>
    <x v="2"/>
    <x v="0"/>
    <s v="No"/>
    <s v="Y"/>
    <n v="4"/>
    <n v="-2"/>
    <n v="0"/>
    <n v="53"/>
    <n v="0"/>
    <m/>
    <n v="0"/>
    <n v="1"/>
    <n v="346"/>
    <n v="6"/>
    <x v="3"/>
    <n v="1"/>
    <n v="4"/>
    <n v="86"/>
    <n v="3"/>
    <n v="2"/>
    <n v="4"/>
    <n v="2450"/>
    <n v="10919"/>
    <n v="2"/>
    <n v="17"/>
    <n v="3"/>
    <n v="4"/>
    <n v="80"/>
    <n v="0"/>
    <n v="19"/>
    <n v="3"/>
    <n v="2"/>
    <n v="2"/>
    <n v="2"/>
    <n v="2"/>
  </r>
  <r>
    <s v="No"/>
    <s v="Non-Travel"/>
    <x v="0"/>
    <s v="Current Employees"/>
    <x v="1"/>
    <x v="0"/>
    <s v="STAFF-771"/>
    <n v="771"/>
    <x v="0"/>
    <x v="4"/>
    <x v="2"/>
    <s v="No"/>
    <s v="Y"/>
    <n v="2"/>
    <n v="-2"/>
    <n v="0"/>
    <n v="35"/>
    <n v="0"/>
    <m/>
    <n v="0"/>
    <n v="1"/>
    <n v="1225"/>
    <n v="2"/>
    <x v="2"/>
    <n v="1"/>
    <n v="4"/>
    <n v="61"/>
    <n v="3"/>
    <n v="2"/>
    <n v="1"/>
    <n v="5093"/>
    <n v="4761"/>
    <n v="2"/>
    <n v="11"/>
    <n v="3"/>
    <n v="1"/>
    <n v="80"/>
    <n v="1"/>
    <n v="16"/>
    <n v="4"/>
    <n v="1"/>
    <n v="0"/>
    <n v="0"/>
    <n v="0"/>
  </r>
  <r>
    <s v="No"/>
    <s v="Travel_Frequently"/>
    <x v="2"/>
    <s v="Current Employees"/>
    <x v="1"/>
    <x v="0"/>
    <s v="STAFF-772"/>
    <n v="772"/>
    <x v="1"/>
    <x v="2"/>
    <x v="1"/>
    <s v="No"/>
    <s v="Y"/>
    <n v="2"/>
    <n v="-2"/>
    <n v="0"/>
    <n v="32"/>
    <n v="0"/>
    <m/>
    <n v="0"/>
    <n v="1"/>
    <n v="430"/>
    <n v="24"/>
    <x v="2"/>
    <n v="1"/>
    <n v="1"/>
    <n v="80"/>
    <n v="3"/>
    <n v="2"/>
    <n v="1"/>
    <n v="5309"/>
    <n v="21146"/>
    <n v="1"/>
    <n v="15"/>
    <n v="3"/>
    <n v="4"/>
    <n v="80"/>
    <n v="2"/>
    <n v="10"/>
    <n v="3"/>
    <n v="10"/>
    <n v="8"/>
    <n v="4"/>
    <n v="7"/>
  </r>
  <r>
    <s v="No"/>
    <s v="Travel_Rarely"/>
    <x v="0"/>
    <s v="Current Employees"/>
    <x v="1"/>
    <x v="2"/>
    <s v="STAFF-773"/>
    <n v="773"/>
    <x v="1"/>
    <x v="1"/>
    <x v="1"/>
    <s v="Yes"/>
    <s v="Y"/>
    <n v="0"/>
    <n v="-2"/>
    <n v="0"/>
    <n v="38"/>
    <n v="0"/>
    <m/>
    <n v="0"/>
    <n v="1"/>
    <n v="268"/>
    <n v="2"/>
    <x v="4"/>
    <n v="1"/>
    <n v="4"/>
    <n v="92"/>
    <n v="3"/>
    <n v="1"/>
    <n v="3"/>
    <n v="3057"/>
    <n v="20471"/>
    <n v="6"/>
    <n v="13"/>
    <n v="3"/>
    <n v="2"/>
    <n v="80"/>
    <n v="1"/>
    <n v="6"/>
    <n v="1"/>
    <n v="1"/>
    <n v="0"/>
    <n v="0"/>
    <n v="1"/>
  </r>
  <r>
    <s v="No"/>
    <s v="Travel_Rarely"/>
    <x v="2"/>
    <s v="Current Employees"/>
    <x v="1"/>
    <x v="0"/>
    <s v="STAFF-775"/>
    <n v="775"/>
    <x v="0"/>
    <x v="3"/>
    <x v="2"/>
    <s v="No"/>
    <s v="Y"/>
    <n v="3"/>
    <n v="-2"/>
    <n v="0"/>
    <n v="34"/>
    <n v="0"/>
    <m/>
    <n v="0"/>
    <n v="1"/>
    <n v="167"/>
    <n v="8"/>
    <x v="4"/>
    <n v="1"/>
    <n v="2"/>
    <n v="32"/>
    <n v="3"/>
    <n v="2"/>
    <n v="1"/>
    <n v="5121"/>
    <n v="4187"/>
    <n v="3"/>
    <n v="14"/>
    <n v="3"/>
    <n v="3"/>
    <n v="80"/>
    <n v="1"/>
    <n v="7"/>
    <n v="3"/>
    <n v="0"/>
    <n v="0"/>
    <n v="0"/>
    <n v="0"/>
  </r>
  <r>
    <s v="No"/>
    <s v="Travel_Rarely"/>
    <x v="1"/>
    <s v="Current Employees"/>
    <x v="0"/>
    <x v="3"/>
    <s v="STAFF-776"/>
    <n v="776"/>
    <x v="1"/>
    <x v="5"/>
    <x v="1"/>
    <s v="No"/>
    <s v="Y"/>
    <n v="3"/>
    <n v="-2"/>
    <n v="0"/>
    <n v="52"/>
    <n v="0"/>
    <m/>
    <n v="0"/>
    <n v="1"/>
    <n v="621"/>
    <n v="3"/>
    <x v="2"/>
    <n v="1"/>
    <n v="3"/>
    <n v="31"/>
    <n v="2"/>
    <n v="4"/>
    <n v="2"/>
    <n v="16856"/>
    <n v="10084"/>
    <n v="1"/>
    <n v="11"/>
    <n v="3"/>
    <n v="1"/>
    <n v="80"/>
    <n v="0"/>
    <n v="34"/>
    <n v="4"/>
    <n v="34"/>
    <n v="6"/>
    <n v="1"/>
    <n v="16"/>
  </r>
  <r>
    <s v="Yes"/>
    <s v="Travel_Rarely"/>
    <x v="2"/>
    <s v="Ex-Employees"/>
    <x v="1"/>
    <x v="1"/>
    <s v="STAFF-780"/>
    <n v="780"/>
    <x v="1"/>
    <x v="1"/>
    <x v="0"/>
    <s v="Yes"/>
    <s v="Y"/>
    <n v="2"/>
    <n v="-2"/>
    <n v="0"/>
    <n v="33"/>
    <n v="1"/>
    <n v="1"/>
    <n v="1"/>
    <n v="0"/>
    <n v="527"/>
    <n v="1"/>
    <x v="2"/>
    <n v="1"/>
    <n v="4"/>
    <n v="63"/>
    <n v="3"/>
    <n v="1"/>
    <n v="4"/>
    <n v="2686"/>
    <n v="5207"/>
    <n v="1"/>
    <n v="13"/>
    <n v="3"/>
    <n v="3"/>
    <n v="80"/>
    <n v="0"/>
    <n v="10"/>
    <n v="2"/>
    <n v="10"/>
    <n v="9"/>
    <n v="7"/>
    <n v="8"/>
  </r>
  <r>
    <s v="No"/>
    <s v="Travel_Rarely"/>
    <x v="2"/>
    <s v="Current Employees"/>
    <x v="0"/>
    <x v="2"/>
    <s v="STAFF-781"/>
    <n v="781"/>
    <x v="0"/>
    <x v="0"/>
    <x v="0"/>
    <s v="No"/>
    <s v="Y"/>
    <n v="5"/>
    <n v="-2"/>
    <n v="0"/>
    <n v="25"/>
    <n v="0"/>
    <m/>
    <n v="0"/>
    <n v="1"/>
    <n v="883"/>
    <n v="26"/>
    <x v="1"/>
    <n v="1"/>
    <n v="3"/>
    <n v="32"/>
    <n v="3"/>
    <n v="2"/>
    <n v="4"/>
    <n v="6180"/>
    <n v="22807"/>
    <n v="1"/>
    <n v="23"/>
    <n v="4"/>
    <n v="2"/>
    <n v="80"/>
    <n v="0"/>
    <n v="6"/>
    <n v="2"/>
    <n v="6"/>
    <n v="5"/>
    <n v="1"/>
    <n v="4"/>
  </r>
  <r>
    <s v="No"/>
    <s v="Travel_Rarely"/>
    <x v="1"/>
    <s v="Current Employees"/>
    <x v="0"/>
    <x v="4"/>
    <s v="STAFF-783"/>
    <n v="783"/>
    <x v="1"/>
    <x v="6"/>
    <x v="0"/>
    <s v="No"/>
    <s v="Y"/>
    <n v="3"/>
    <n v="-2"/>
    <n v="0"/>
    <n v="45"/>
    <n v="0"/>
    <m/>
    <n v="0"/>
    <n v="1"/>
    <n v="954"/>
    <n v="2"/>
    <x v="0"/>
    <n v="1"/>
    <n v="4"/>
    <n v="46"/>
    <n v="1"/>
    <n v="2"/>
    <n v="4"/>
    <n v="6632"/>
    <n v="12388"/>
    <n v="0"/>
    <n v="13"/>
    <n v="3"/>
    <n v="1"/>
    <n v="80"/>
    <n v="0"/>
    <n v="9"/>
    <n v="3"/>
    <n v="8"/>
    <n v="7"/>
    <n v="3"/>
    <n v="1"/>
  </r>
  <r>
    <s v="No"/>
    <s v="Travel_Rarely"/>
    <x v="4"/>
    <s v="Current Employees"/>
    <x v="1"/>
    <x v="2"/>
    <s v="STAFF-784"/>
    <n v="784"/>
    <x v="1"/>
    <x v="1"/>
    <x v="0"/>
    <s v="No"/>
    <s v="Y"/>
    <n v="3"/>
    <n v="-2"/>
    <n v="0"/>
    <n v="23"/>
    <n v="0"/>
    <m/>
    <n v="0"/>
    <n v="1"/>
    <n v="310"/>
    <n v="10"/>
    <x v="1"/>
    <n v="1"/>
    <n v="1"/>
    <n v="79"/>
    <n v="4"/>
    <n v="1"/>
    <n v="3"/>
    <n v="3505"/>
    <n v="19630"/>
    <n v="1"/>
    <n v="18"/>
    <n v="3"/>
    <n v="4"/>
    <n v="80"/>
    <n v="0"/>
    <n v="2"/>
    <n v="3"/>
    <n v="2"/>
    <n v="2"/>
    <n v="0"/>
    <n v="2"/>
  </r>
  <r>
    <s v="Yes"/>
    <s v="Travel_Frequently"/>
    <x v="1"/>
    <s v="Ex-Employees"/>
    <x v="0"/>
    <x v="0"/>
    <s v="STAFF-785"/>
    <n v="785"/>
    <x v="0"/>
    <x v="0"/>
    <x v="0"/>
    <s v="Yes"/>
    <s v="Y"/>
    <n v="2"/>
    <n v="-2"/>
    <n v="0"/>
    <n v="47"/>
    <n v="1"/>
    <n v="1"/>
    <n v="1"/>
    <n v="0"/>
    <n v="719"/>
    <n v="27"/>
    <x v="0"/>
    <n v="1"/>
    <n v="2"/>
    <n v="77"/>
    <n v="4"/>
    <n v="2"/>
    <n v="1"/>
    <n v="6397"/>
    <n v="10339"/>
    <n v="4"/>
    <n v="12"/>
    <n v="3"/>
    <n v="4"/>
    <n v="80"/>
    <n v="0"/>
    <n v="8"/>
    <n v="3"/>
    <n v="5"/>
    <n v="4"/>
    <n v="1"/>
    <n v="3"/>
  </r>
  <r>
    <s v="No"/>
    <s v="Travel_Rarely"/>
    <x v="2"/>
    <s v="Current Employees"/>
    <x v="0"/>
    <x v="1"/>
    <s v="STAFF-786"/>
    <n v="786"/>
    <x v="1"/>
    <x v="0"/>
    <x v="0"/>
    <s v="No"/>
    <s v="Y"/>
    <n v="5"/>
    <n v="-2"/>
    <n v="0"/>
    <n v="34"/>
    <n v="0"/>
    <m/>
    <n v="0"/>
    <n v="1"/>
    <n v="304"/>
    <n v="2"/>
    <x v="3"/>
    <n v="1"/>
    <n v="4"/>
    <n v="60"/>
    <n v="3"/>
    <n v="2"/>
    <n v="4"/>
    <n v="6274"/>
    <n v="18686"/>
    <n v="1"/>
    <n v="22"/>
    <n v="4"/>
    <n v="3"/>
    <n v="80"/>
    <n v="0"/>
    <n v="6"/>
    <n v="3"/>
    <n v="6"/>
    <n v="5"/>
    <n v="1"/>
    <n v="4"/>
  </r>
  <r>
    <s v="Yes"/>
    <s v="Travel_Rarely"/>
    <x v="3"/>
    <s v="Ex-Employees"/>
    <x v="1"/>
    <x v="2"/>
    <s v="STAFF-787"/>
    <n v="787"/>
    <x v="1"/>
    <x v="5"/>
    <x v="1"/>
    <s v="Yes"/>
    <s v="Y"/>
    <n v="2"/>
    <n v="-2"/>
    <n v="0"/>
    <n v="55"/>
    <n v="1"/>
    <n v="1"/>
    <n v="1"/>
    <n v="0"/>
    <n v="725"/>
    <n v="2"/>
    <x v="3"/>
    <n v="1"/>
    <n v="4"/>
    <n v="78"/>
    <n v="3"/>
    <n v="5"/>
    <n v="3"/>
    <n v="19859"/>
    <n v="21199"/>
    <n v="5"/>
    <n v="13"/>
    <n v="3"/>
    <n v="4"/>
    <n v="80"/>
    <n v="1"/>
    <n v="24"/>
    <n v="3"/>
    <n v="5"/>
    <n v="2"/>
    <n v="1"/>
    <n v="4"/>
  </r>
  <r>
    <s v="No"/>
    <s v="Non-Travel"/>
    <x v="0"/>
    <s v="Current Employees"/>
    <x v="0"/>
    <x v="0"/>
    <s v="STAFF-789"/>
    <n v="789"/>
    <x v="1"/>
    <x v="0"/>
    <x v="0"/>
    <s v="No"/>
    <s v="Y"/>
    <n v="1"/>
    <n v="-2"/>
    <n v="0"/>
    <n v="36"/>
    <n v="0"/>
    <m/>
    <n v="0"/>
    <n v="1"/>
    <n v="1434"/>
    <n v="8"/>
    <x v="2"/>
    <n v="1"/>
    <n v="1"/>
    <n v="76"/>
    <n v="2"/>
    <n v="3"/>
    <n v="1"/>
    <n v="7587"/>
    <n v="14229"/>
    <n v="1"/>
    <n v="15"/>
    <n v="3"/>
    <n v="2"/>
    <n v="80"/>
    <n v="0"/>
    <n v="10"/>
    <n v="3"/>
    <n v="10"/>
    <n v="7"/>
    <n v="0"/>
    <n v="9"/>
  </r>
  <r>
    <s v="No"/>
    <s v="Non-Travel"/>
    <x v="1"/>
    <s v="Current Employees"/>
    <x v="1"/>
    <x v="2"/>
    <s v="STAFF-791"/>
    <n v="791"/>
    <x v="1"/>
    <x v="1"/>
    <x v="1"/>
    <s v="No"/>
    <s v="Y"/>
    <n v="3"/>
    <n v="-2"/>
    <n v="0"/>
    <n v="52"/>
    <n v="0"/>
    <m/>
    <n v="0"/>
    <n v="1"/>
    <n v="715"/>
    <n v="19"/>
    <x v="2"/>
    <n v="1"/>
    <n v="4"/>
    <n v="41"/>
    <n v="3"/>
    <n v="1"/>
    <n v="4"/>
    <n v="4258"/>
    <n v="26589"/>
    <n v="0"/>
    <n v="18"/>
    <n v="3"/>
    <n v="1"/>
    <n v="80"/>
    <n v="1"/>
    <n v="5"/>
    <n v="3"/>
    <n v="4"/>
    <n v="3"/>
    <n v="1"/>
    <n v="2"/>
  </r>
  <r>
    <s v="No"/>
    <s v="Travel_Frequently"/>
    <x v="2"/>
    <s v="Current Employees"/>
    <x v="1"/>
    <x v="0"/>
    <s v="STAFF-792"/>
    <n v="792"/>
    <x v="0"/>
    <x v="2"/>
    <x v="2"/>
    <s v="No"/>
    <s v="Y"/>
    <n v="2"/>
    <n v="-2"/>
    <n v="0"/>
    <n v="26"/>
    <n v="0"/>
    <m/>
    <n v="0"/>
    <n v="1"/>
    <n v="575"/>
    <n v="1"/>
    <x v="0"/>
    <n v="1"/>
    <n v="1"/>
    <n v="71"/>
    <n v="1"/>
    <n v="1"/>
    <n v="1"/>
    <n v="4364"/>
    <n v="5288"/>
    <n v="3"/>
    <n v="14"/>
    <n v="3"/>
    <n v="1"/>
    <n v="80"/>
    <n v="1"/>
    <n v="5"/>
    <n v="3"/>
    <n v="2"/>
    <n v="2"/>
    <n v="2"/>
    <n v="0"/>
  </r>
  <r>
    <s v="No"/>
    <s v="Travel_Rarely"/>
    <x v="2"/>
    <s v="Current Employees"/>
    <x v="1"/>
    <x v="2"/>
    <s v="STAFF-793"/>
    <n v="793"/>
    <x v="0"/>
    <x v="4"/>
    <x v="1"/>
    <s v="No"/>
    <s v="Y"/>
    <n v="3"/>
    <n v="-2"/>
    <n v="0"/>
    <n v="29"/>
    <n v="0"/>
    <m/>
    <n v="0"/>
    <n v="1"/>
    <n v="657"/>
    <n v="27"/>
    <x v="3"/>
    <n v="1"/>
    <n v="2"/>
    <n v="66"/>
    <n v="3"/>
    <n v="2"/>
    <n v="3"/>
    <n v="4335"/>
    <n v="25549"/>
    <n v="4"/>
    <n v="12"/>
    <n v="3"/>
    <n v="1"/>
    <n v="80"/>
    <n v="1"/>
    <n v="11"/>
    <n v="2"/>
    <n v="8"/>
    <n v="7"/>
    <n v="1"/>
    <n v="1"/>
  </r>
  <r>
    <s v="Yes"/>
    <s v="Travel_Rarely"/>
    <x v="2"/>
    <s v="Ex-Employees"/>
    <x v="0"/>
    <x v="4"/>
    <s v="STAFF-796"/>
    <n v="796"/>
    <x v="1"/>
    <x v="0"/>
    <x v="0"/>
    <s v="No"/>
    <s v="Y"/>
    <n v="2"/>
    <n v="-2"/>
    <n v="0"/>
    <n v="26"/>
    <n v="1"/>
    <n v="1"/>
    <n v="1"/>
    <n v="0"/>
    <n v="1146"/>
    <n v="8"/>
    <x v="3"/>
    <n v="1"/>
    <n v="4"/>
    <n v="38"/>
    <n v="2"/>
    <n v="2"/>
    <n v="4"/>
    <n v="5326"/>
    <n v="3064"/>
    <n v="6"/>
    <n v="17"/>
    <n v="3"/>
    <n v="3"/>
    <n v="80"/>
    <n v="0"/>
    <n v="6"/>
    <n v="2"/>
    <n v="4"/>
    <n v="3"/>
    <n v="1"/>
    <n v="2"/>
  </r>
  <r>
    <s v="No"/>
    <s v="Travel_Rarely"/>
    <x v="2"/>
    <s v="Current Employees"/>
    <x v="1"/>
    <x v="0"/>
    <s v="STAFF-797"/>
    <n v="797"/>
    <x v="0"/>
    <x v="1"/>
    <x v="0"/>
    <s v="No"/>
    <s v="Y"/>
    <n v="2"/>
    <n v="-2"/>
    <n v="0"/>
    <n v="34"/>
    <n v="0"/>
    <m/>
    <n v="0"/>
    <n v="1"/>
    <n v="182"/>
    <n v="1"/>
    <x v="2"/>
    <n v="1"/>
    <n v="2"/>
    <n v="72"/>
    <n v="4"/>
    <n v="1"/>
    <n v="1"/>
    <n v="3280"/>
    <n v="13551"/>
    <n v="2"/>
    <n v="16"/>
    <n v="3"/>
    <n v="3"/>
    <n v="80"/>
    <n v="0"/>
    <n v="10"/>
    <n v="3"/>
    <n v="4"/>
    <n v="2"/>
    <n v="1"/>
    <n v="3"/>
  </r>
  <r>
    <s v="No"/>
    <s v="Travel_Rarely"/>
    <x v="1"/>
    <s v="Current Employees"/>
    <x v="1"/>
    <x v="2"/>
    <s v="STAFF-799"/>
    <n v="799"/>
    <x v="0"/>
    <x v="3"/>
    <x v="2"/>
    <s v="Yes"/>
    <s v="Y"/>
    <n v="4"/>
    <n v="-2"/>
    <n v="0"/>
    <n v="54"/>
    <n v="0"/>
    <m/>
    <n v="0"/>
    <n v="1"/>
    <n v="376"/>
    <n v="19"/>
    <x v="2"/>
    <n v="1"/>
    <n v="4"/>
    <n v="95"/>
    <n v="3"/>
    <n v="2"/>
    <n v="3"/>
    <n v="5485"/>
    <n v="22670"/>
    <n v="9"/>
    <n v="11"/>
    <n v="3"/>
    <n v="2"/>
    <n v="80"/>
    <n v="2"/>
    <n v="9"/>
    <n v="3"/>
    <n v="5"/>
    <n v="3"/>
    <n v="1"/>
    <n v="4"/>
  </r>
  <r>
    <s v="No"/>
    <s v="Travel_Frequently"/>
    <x v="2"/>
    <s v="Current Employees"/>
    <x v="0"/>
    <x v="3"/>
    <s v="STAFF-800"/>
    <n v="800"/>
    <x v="1"/>
    <x v="0"/>
    <x v="1"/>
    <s v="No"/>
    <s v="Y"/>
    <n v="3"/>
    <n v="-2"/>
    <n v="0"/>
    <n v="27"/>
    <n v="0"/>
    <m/>
    <n v="0"/>
    <n v="1"/>
    <n v="829"/>
    <n v="8"/>
    <x v="1"/>
    <n v="1"/>
    <n v="3"/>
    <n v="84"/>
    <n v="3"/>
    <n v="2"/>
    <n v="2"/>
    <n v="4342"/>
    <n v="24008"/>
    <n v="0"/>
    <n v="19"/>
    <n v="3"/>
    <n v="2"/>
    <n v="80"/>
    <n v="1"/>
    <n v="5"/>
    <n v="3"/>
    <n v="4"/>
    <n v="2"/>
    <n v="1"/>
    <n v="1"/>
  </r>
  <r>
    <s v="No"/>
    <s v="Travel_Rarely"/>
    <x v="0"/>
    <s v="Current Employees"/>
    <x v="1"/>
    <x v="0"/>
    <s v="STAFF-802"/>
    <n v="802"/>
    <x v="0"/>
    <x v="1"/>
    <x v="2"/>
    <s v="Yes"/>
    <s v="Y"/>
    <n v="3"/>
    <n v="-2"/>
    <n v="0"/>
    <n v="37"/>
    <n v="0"/>
    <m/>
    <n v="0"/>
    <n v="1"/>
    <n v="571"/>
    <n v="10"/>
    <x v="1"/>
    <n v="1"/>
    <n v="4"/>
    <n v="82"/>
    <n v="3"/>
    <n v="1"/>
    <n v="1"/>
    <n v="2782"/>
    <n v="19905"/>
    <n v="0"/>
    <n v="13"/>
    <n v="3"/>
    <n v="2"/>
    <n v="80"/>
    <n v="2"/>
    <n v="6"/>
    <n v="2"/>
    <n v="5"/>
    <n v="3"/>
    <n v="4"/>
    <n v="3"/>
  </r>
  <r>
    <s v="No"/>
    <s v="Travel_Frequently"/>
    <x v="0"/>
    <s v="Current Employees"/>
    <x v="1"/>
    <x v="0"/>
    <s v="STAFF-803"/>
    <n v="803"/>
    <x v="0"/>
    <x v="3"/>
    <x v="0"/>
    <s v="Yes"/>
    <s v="Y"/>
    <n v="2"/>
    <n v="-2"/>
    <n v="0"/>
    <n v="38"/>
    <n v="0"/>
    <m/>
    <n v="0"/>
    <n v="1"/>
    <n v="240"/>
    <n v="2"/>
    <x v="2"/>
    <n v="1"/>
    <n v="1"/>
    <n v="75"/>
    <n v="4"/>
    <n v="2"/>
    <n v="1"/>
    <n v="5980"/>
    <n v="26085"/>
    <n v="6"/>
    <n v="12"/>
    <n v="3"/>
    <n v="4"/>
    <n v="80"/>
    <n v="0"/>
    <n v="17"/>
    <n v="3"/>
    <n v="15"/>
    <n v="7"/>
    <n v="4"/>
    <n v="12"/>
  </r>
  <r>
    <s v="No"/>
    <s v="Travel_Rarely"/>
    <x v="2"/>
    <s v="Current Employees"/>
    <x v="1"/>
    <x v="2"/>
    <s v="STAFF-804"/>
    <n v="804"/>
    <x v="0"/>
    <x v="1"/>
    <x v="0"/>
    <s v="No"/>
    <s v="Y"/>
    <n v="3"/>
    <n v="-2"/>
    <n v="0"/>
    <n v="34"/>
    <n v="0"/>
    <m/>
    <n v="0"/>
    <n v="1"/>
    <n v="121"/>
    <n v="2"/>
    <x v="2"/>
    <n v="1"/>
    <n v="3"/>
    <n v="86"/>
    <n v="2"/>
    <n v="1"/>
    <n v="3"/>
    <n v="4381"/>
    <n v="7530"/>
    <n v="1"/>
    <n v="11"/>
    <n v="3"/>
    <n v="3"/>
    <n v="80"/>
    <n v="0"/>
    <n v="6"/>
    <n v="3"/>
    <n v="6"/>
    <n v="5"/>
    <n v="1"/>
    <n v="3"/>
  </r>
  <r>
    <s v="No"/>
    <s v="Travel_Rarely"/>
    <x v="0"/>
    <s v="Current Employees"/>
    <x v="0"/>
    <x v="0"/>
    <s v="STAFF-805"/>
    <n v="805"/>
    <x v="0"/>
    <x v="6"/>
    <x v="1"/>
    <s v="No"/>
    <s v="Y"/>
    <n v="1"/>
    <n v="-2"/>
    <n v="0"/>
    <n v="35"/>
    <n v="0"/>
    <m/>
    <n v="0"/>
    <n v="1"/>
    <n v="384"/>
    <n v="8"/>
    <x v="2"/>
    <n v="1"/>
    <n v="1"/>
    <n v="72"/>
    <n v="3"/>
    <n v="1"/>
    <n v="1"/>
    <n v="2572"/>
    <n v="20317"/>
    <n v="1"/>
    <n v="16"/>
    <n v="3"/>
    <n v="2"/>
    <n v="80"/>
    <n v="1"/>
    <n v="3"/>
    <n v="2"/>
    <n v="3"/>
    <n v="2"/>
    <n v="0"/>
    <n v="2"/>
  </r>
  <r>
    <s v="No"/>
    <s v="Travel_Rarely"/>
    <x v="2"/>
    <s v="Current Employees"/>
    <x v="1"/>
    <x v="0"/>
    <s v="STAFF-806"/>
    <n v="806"/>
    <x v="1"/>
    <x v="2"/>
    <x v="1"/>
    <s v="No"/>
    <s v="Y"/>
    <n v="2"/>
    <n v="-2"/>
    <n v="0"/>
    <n v="30"/>
    <n v="0"/>
    <m/>
    <n v="0"/>
    <n v="1"/>
    <n v="921"/>
    <n v="1"/>
    <x v="3"/>
    <n v="1"/>
    <n v="4"/>
    <n v="38"/>
    <n v="1"/>
    <n v="1"/>
    <n v="1"/>
    <n v="3833"/>
    <n v="24375"/>
    <n v="3"/>
    <n v="21"/>
    <n v="4"/>
    <n v="3"/>
    <n v="80"/>
    <n v="2"/>
    <n v="7"/>
    <n v="3"/>
    <n v="2"/>
    <n v="2"/>
    <n v="0"/>
    <n v="2"/>
  </r>
  <r>
    <s v="No"/>
    <s v="Travel_Frequently"/>
    <x v="0"/>
    <s v="Current Employees"/>
    <x v="1"/>
    <x v="2"/>
    <s v="STAFF-807"/>
    <n v="807"/>
    <x v="0"/>
    <x v="4"/>
    <x v="1"/>
    <s v="No"/>
    <s v="Y"/>
    <n v="2"/>
    <n v="-2"/>
    <n v="0"/>
    <n v="40"/>
    <n v="0"/>
    <m/>
    <n v="0"/>
    <n v="1"/>
    <n v="791"/>
    <n v="2"/>
    <x v="0"/>
    <n v="1"/>
    <n v="3"/>
    <n v="38"/>
    <n v="4"/>
    <n v="2"/>
    <n v="3"/>
    <n v="4244"/>
    <n v="9931"/>
    <n v="1"/>
    <n v="24"/>
    <n v="4"/>
    <n v="4"/>
    <n v="80"/>
    <n v="1"/>
    <n v="8"/>
    <n v="3"/>
    <n v="8"/>
    <n v="7"/>
    <n v="3"/>
    <n v="7"/>
  </r>
  <r>
    <s v="No"/>
    <s v="Travel_Rarely"/>
    <x v="2"/>
    <s v="Current Employees"/>
    <x v="0"/>
    <x v="0"/>
    <s v="STAFF-808"/>
    <n v="808"/>
    <x v="0"/>
    <x v="0"/>
    <x v="1"/>
    <s v="No"/>
    <s v="Y"/>
    <n v="1"/>
    <n v="-2"/>
    <n v="0"/>
    <n v="34"/>
    <n v="0"/>
    <m/>
    <n v="0"/>
    <n v="1"/>
    <n v="1111"/>
    <n v="8"/>
    <x v="0"/>
    <n v="1"/>
    <n v="3"/>
    <n v="93"/>
    <n v="3"/>
    <n v="2"/>
    <n v="1"/>
    <n v="6500"/>
    <n v="13305"/>
    <n v="5"/>
    <n v="17"/>
    <n v="3"/>
    <n v="2"/>
    <n v="80"/>
    <n v="1"/>
    <n v="6"/>
    <n v="3"/>
    <n v="3"/>
    <n v="2"/>
    <n v="1"/>
    <n v="2"/>
  </r>
  <r>
    <s v="No"/>
    <s v="Travel_Frequently"/>
    <x v="0"/>
    <s v="Current Employees"/>
    <x v="1"/>
    <x v="0"/>
    <s v="STAFF-809"/>
    <n v="809"/>
    <x v="1"/>
    <x v="5"/>
    <x v="2"/>
    <s v="No"/>
    <s v="Y"/>
    <n v="4"/>
    <n v="-2"/>
    <n v="0"/>
    <n v="42"/>
    <n v="0"/>
    <m/>
    <n v="0"/>
    <n v="1"/>
    <n v="570"/>
    <n v="8"/>
    <x v="3"/>
    <n v="1"/>
    <n v="2"/>
    <n v="66"/>
    <n v="3"/>
    <n v="5"/>
    <n v="1"/>
    <n v="18430"/>
    <n v="16225"/>
    <n v="1"/>
    <n v="13"/>
    <n v="3"/>
    <n v="2"/>
    <n v="80"/>
    <n v="1"/>
    <n v="24"/>
    <n v="2"/>
    <n v="24"/>
    <n v="7"/>
    <n v="14"/>
    <n v="9"/>
  </r>
  <r>
    <s v="Yes"/>
    <s v="Travel_Rarely"/>
    <x v="4"/>
    <s v="Ex-Employees"/>
    <x v="1"/>
    <x v="0"/>
    <s v="STAFF-811"/>
    <n v="811"/>
    <x v="1"/>
    <x v="2"/>
    <x v="1"/>
    <s v="Yes"/>
    <s v="Y"/>
    <n v="2"/>
    <n v="-2"/>
    <n v="0"/>
    <n v="23"/>
    <n v="1"/>
    <n v="1"/>
    <n v="1"/>
    <n v="0"/>
    <n v="1243"/>
    <n v="6"/>
    <x v="3"/>
    <n v="1"/>
    <n v="3"/>
    <n v="63"/>
    <n v="4"/>
    <n v="1"/>
    <n v="1"/>
    <n v="1601"/>
    <n v="3445"/>
    <n v="1"/>
    <n v="21"/>
    <n v="4"/>
    <n v="3"/>
    <n v="80"/>
    <n v="2"/>
    <n v="1"/>
    <n v="3"/>
    <n v="0"/>
    <n v="0"/>
    <n v="0"/>
    <n v="0"/>
  </r>
  <r>
    <s v="No"/>
    <s v="Non-Travel"/>
    <x v="4"/>
    <s v="Current Employees"/>
    <x v="1"/>
    <x v="0"/>
    <s v="STAFF-812"/>
    <n v="812"/>
    <x v="1"/>
    <x v="2"/>
    <x v="2"/>
    <s v="No"/>
    <s v="Y"/>
    <n v="4"/>
    <n v="-2"/>
    <n v="0"/>
    <n v="24"/>
    <n v="0"/>
    <m/>
    <n v="0"/>
    <n v="1"/>
    <n v="1092"/>
    <n v="9"/>
    <x v="3"/>
    <n v="1"/>
    <n v="3"/>
    <n v="60"/>
    <n v="2"/>
    <n v="1"/>
    <n v="1"/>
    <n v="2694"/>
    <n v="26551"/>
    <n v="1"/>
    <n v="11"/>
    <n v="3"/>
    <n v="3"/>
    <n v="80"/>
    <n v="3"/>
    <n v="1"/>
    <n v="3"/>
    <n v="1"/>
    <n v="0"/>
    <n v="0"/>
    <n v="0"/>
  </r>
  <r>
    <s v="No"/>
    <s v="Travel_Rarely"/>
    <x v="1"/>
    <s v="Current Employees"/>
    <x v="1"/>
    <x v="0"/>
    <s v="STAFF-813"/>
    <n v="813"/>
    <x v="0"/>
    <x v="2"/>
    <x v="1"/>
    <s v="No"/>
    <s v="Y"/>
    <n v="3"/>
    <n v="-2"/>
    <n v="0"/>
    <n v="52"/>
    <n v="0"/>
    <m/>
    <n v="0"/>
    <n v="1"/>
    <n v="1325"/>
    <n v="11"/>
    <x v="2"/>
    <n v="1"/>
    <n v="4"/>
    <n v="82"/>
    <n v="3"/>
    <n v="2"/>
    <n v="1"/>
    <n v="3149"/>
    <n v="21821"/>
    <n v="8"/>
    <n v="20"/>
    <n v="4"/>
    <n v="2"/>
    <n v="80"/>
    <n v="1"/>
    <n v="9"/>
    <n v="3"/>
    <n v="5"/>
    <n v="2"/>
    <n v="1"/>
    <n v="4"/>
  </r>
  <r>
    <s v="No"/>
    <s v="Travel_Rarely"/>
    <x v="1"/>
    <s v="Current Employees"/>
    <x v="1"/>
    <x v="2"/>
    <s v="STAFF-815"/>
    <n v="815"/>
    <x v="1"/>
    <x v="7"/>
    <x v="1"/>
    <s v="No"/>
    <s v="Y"/>
    <n v="3"/>
    <n v="-2"/>
    <n v="0"/>
    <n v="50"/>
    <n v="0"/>
    <m/>
    <n v="0"/>
    <n v="1"/>
    <n v="691"/>
    <n v="2"/>
    <x v="3"/>
    <n v="1"/>
    <n v="3"/>
    <n v="64"/>
    <n v="3"/>
    <n v="4"/>
    <n v="3"/>
    <n v="17639"/>
    <n v="6881"/>
    <n v="5"/>
    <n v="16"/>
    <n v="3"/>
    <n v="4"/>
    <n v="80"/>
    <n v="0"/>
    <n v="30"/>
    <n v="3"/>
    <n v="4"/>
    <n v="3"/>
    <n v="0"/>
    <n v="3"/>
  </r>
  <r>
    <s v="Yes"/>
    <s v="Travel_Rarely"/>
    <x v="2"/>
    <s v="Ex-Employees"/>
    <x v="1"/>
    <x v="0"/>
    <s v="STAFF-816"/>
    <n v="816"/>
    <x v="0"/>
    <x v="2"/>
    <x v="1"/>
    <s v="Yes"/>
    <s v="Y"/>
    <n v="1"/>
    <n v="-2"/>
    <n v="0"/>
    <n v="29"/>
    <n v="1"/>
    <n v="1"/>
    <n v="1"/>
    <n v="0"/>
    <n v="805"/>
    <n v="1"/>
    <x v="0"/>
    <n v="1"/>
    <n v="2"/>
    <n v="36"/>
    <n v="2"/>
    <n v="1"/>
    <n v="1"/>
    <n v="2319"/>
    <n v="6689"/>
    <n v="1"/>
    <n v="11"/>
    <n v="3"/>
    <n v="4"/>
    <n v="80"/>
    <n v="1"/>
    <n v="1"/>
    <n v="3"/>
    <n v="1"/>
    <n v="0"/>
    <n v="0"/>
    <n v="0"/>
  </r>
  <r>
    <s v="No"/>
    <s v="Travel_Rarely"/>
    <x v="2"/>
    <s v="Current Employees"/>
    <x v="1"/>
    <x v="2"/>
    <s v="STAFF-817"/>
    <n v="817"/>
    <x v="1"/>
    <x v="7"/>
    <x v="1"/>
    <s v="No"/>
    <s v="Y"/>
    <n v="3"/>
    <n v="-2"/>
    <n v="0"/>
    <n v="33"/>
    <n v="0"/>
    <m/>
    <n v="0"/>
    <n v="1"/>
    <n v="213"/>
    <n v="7"/>
    <x v="3"/>
    <n v="1"/>
    <n v="3"/>
    <n v="49"/>
    <n v="3"/>
    <n v="3"/>
    <n v="3"/>
    <n v="11691"/>
    <n v="25995"/>
    <n v="0"/>
    <n v="11"/>
    <n v="3"/>
    <n v="4"/>
    <n v="80"/>
    <n v="0"/>
    <n v="14"/>
    <n v="4"/>
    <n v="13"/>
    <n v="9"/>
    <n v="3"/>
    <n v="7"/>
  </r>
  <r>
    <s v="Yes"/>
    <s v="Travel_Rarely"/>
    <x v="2"/>
    <s v="Ex-Employees"/>
    <x v="0"/>
    <x v="3"/>
    <s v="STAFF-819"/>
    <n v="819"/>
    <x v="0"/>
    <x v="0"/>
    <x v="0"/>
    <s v="No"/>
    <s v="Y"/>
    <n v="3"/>
    <n v="-2"/>
    <n v="0"/>
    <n v="33"/>
    <n v="1"/>
    <n v="1"/>
    <n v="1"/>
    <n v="0"/>
    <n v="118"/>
    <n v="16"/>
    <x v="3"/>
    <n v="1"/>
    <n v="1"/>
    <n v="69"/>
    <n v="3"/>
    <n v="2"/>
    <n v="2"/>
    <n v="5324"/>
    <n v="26507"/>
    <n v="5"/>
    <n v="15"/>
    <n v="3"/>
    <n v="3"/>
    <n v="80"/>
    <n v="0"/>
    <n v="6"/>
    <n v="3"/>
    <n v="3"/>
    <n v="2"/>
    <n v="0"/>
    <n v="2"/>
  </r>
  <r>
    <s v="No"/>
    <s v="Travel_Rarely"/>
    <x v="1"/>
    <s v="Current Employees"/>
    <x v="1"/>
    <x v="1"/>
    <s v="STAFF-820"/>
    <n v="820"/>
    <x v="0"/>
    <x v="5"/>
    <x v="1"/>
    <s v="Yes"/>
    <s v="Y"/>
    <n v="3"/>
    <n v="-2"/>
    <n v="0"/>
    <n v="47"/>
    <n v="0"/>
    <m/>
    <n v="0"/>
    <n v="1"/>
    <n v="202"/>
    <n v="2"/>
    <x v="0"/>
    <n v="1"/>
    <n v="3"/>
    <n v="33"/>
    <n v="3"/>
    <n v="4"/>
    <n v="4"/>
    <n v="16752"/>
    <n v="12982"/>
    <n v="1"/>
    <n v="11"/>
    <n v="3"/>
    <n v="3"/>
    <n v="80"/>
    <n v="1"/>
    <n v="26"/>
    <n v="2"/>
    <n v="26"/>
    <n v="14"/>
    <n v="3"/>
    <n v="0"/>
  </r>
  <r>
    <s v="No"/>
    <s v="Travel_Rarely"/>
    <x v="0"/>
    <s v="Current Employees"/>
    <x v="1"/>
    <x v="1"/>
    <s v="STAFF-823"/>
    <n v="823"/>
    <x v="0"/>
    <x v="3"/>
    <x v="1"/>
    <s v="No"/>
    <s v="Y"/>
    <n v="2"/>
    <n v="-2"/>
    <n v="0"/>
    <n v="36"/>
    <n v="0"/>
    <m/>
    <n v="0"/>
    <n v="1"/>
    <n v="676"/>
    <n v="1"/>
    <x v="3"/>
    <n v="1"/>
    <n v="3"/>
    <n v="35"/>
    <n v="3"/>
    <n v="2"/>
    <n v="3"/>
    <n v="5228"/>
    <n v="23361"/>
    <n v="0"/>
    <n v="15"/>
    <n v="3"/>
    <n v="1"/>
    <n v="80"/>
    <n v="1"/>
    <n v="10"/>
    <n v="3"/>
    <n v="9"/>
    <n v="7"/>
    <n v="0"/>
    <n v="5"/>
  </r>
  <r>
    <s v="No"/>
    <s v="Travel_Rarely"/>
    <x v="2"/>
    <s v="Current Employees"/>
    <x v="1"/>
    <x v="0"/>
    <s v="STAFF-824"/>
    <n v="824"/>
    <x v="1"/>
    <x v="1"/>
    <x v="1"/>
    <s v="No"/>
    <s v="Y"/>
    <n v="3"/>
    <n v="-2"/>
    <n v="0"/>
    <n v="29"/>
    <n v="0"/>
    <m/>
    <n v="0"/>
    <n v="1"/>
    <n v="1252"/>
    <n v="23"/>
    <x v="0"/>
    <n v="1"/>
    <n v="3"/>
    <n v="81"/>
    <n v="4"/>
    <n v="1"/>
    <n v="1"/>
    <n v="2700"/>
    <n v="23779"/>
    <n v="1"/>
    <n v="24"/>
    <n v="4"/>
    <n v="3"/>
    <n v="80"/>
    <n v="1"/>
    <n v="10"/>
    <n v="3"/>
    <n v="10"/>
    <n v="7"/>
    <n v="0"/>
    <n v="7"/>
  </r>
  <r>
    <s v="Yes"/>
    <s v="Travel_Rarely"/>
    <x v="3"/>
    <s v="Ex-Employees"/>
    <x v="1"/>
    <x v="0"/>
    <s v="STAFF-825"/>
    <n v="825"/>
    <x v="1"/>
    <x v="7"/>
    <x v="0"/>
    <s v="Yes"/>
    <s v="Y"/>
    <n v="2"/>
    <n v="-2"/>
    <n v="0"/>
    <n v="58"/>
    <n v="1"/>
    <n v="1"/>
    <n v="1"/>
    <n v="0"/>
    <n v="286"/>
    <n v="2"/>
    <x v="2"/>
    <n v="1"/>
    <n v="4"/>
    <n v="31"/>
    <n v="3"/>
    <n v="5"/>
    <n v="1"/>
    <n v="19246"/>
    <n v="25761"/>
    <n v="7"/>
    <n v="12"/>
    <n v="3"/>
    <n v="4"/>
    <n v="80"/>
    <n v="0"/>
    <n v="40"/>
    <n v="3"/>
    <n v="31"/>
    <n v="15"/>
    <n v="13"/>
    <n v="8"/>
  </r>
  <r>
    <s v="No"/>
    <s v="Travel_Rarely"/>
    <x v="0"/>
    <s v="Current Employees"/>
    <x v="1"/>
    <x v="0"/>
    <s v="STAFF-826"/>
    <n v="826"/>
    <x v="0"/>
    <x v="1"/>
    <x v="0"/>
    <s v="No"/>
    <s v="Y"/>
    <n v="0"/>
    <n v="-2"/>
    <n v="0"/>
    <n v="35"/>
    <n v="0"/>
    <m/>
    <n v="0"/>
    <n v="1"/>
    <n v="1258"/>
    <n v="1"/>
    <x v="2"/>
    <n v="1"/>
    <n v="4"/>
    <n v="40"/>
    <n v="4"/>
    <n v="1"/>
    <n v="1"/>
    <n v="2506"/>
    <n v="13301"/>
    <n v="3"/>
    <n v="13"/>
    <n v="3"/>
    <n v="3"/>
    <n v="80"/>
    <n v="0"/>
    <n v="7"/>
    <n v="3"/>
    <n v="2"/>
    <n v="2"/>
    <n v="2"/>
    <n v="2"/>
  </r>
  <r>
    <s v="No"/>
    <s v="Travel_Rarely"/>
    <x v="0"/>
    <s v="Current Employees"/>
    <x v="1"/>
    <x v="0"/>
    <s v="STAFF-827"/>
    <n v="827"/>
    <x v="0"/>
    <x v="3"/>
    <x v="1"/>
    <s v="Yes"/>
    <s v="Y"/>
    <n v="4"/>
    <n v="-2"/>
    <n v="0"/>
    <n v="42"/>
    <n v="0"/>
    <m/>
    <n v="0"/>
    <n v="1"/>
    <n v="932"/>
    <n v="1"/>
    <x v="0"/>
    <n v="1"/>
    <n v="4"/>
    <n v="43"/>
    <n v="2"/>
    <n v="2"/>
    <n v="1"/>
    <n v="6062"/>
    <n v="4051"/>
    <n v="9"/>
    <n v="13"/>
    <n v="3"/>
    <n v="4"/>
    <n v="80"/>
    <n v="1"/>
    <n v="8"/>
    <n v="3"/>
    <n v="4"/>
    <n v="3"/>
    <n v="0"/>
    <n v="2"/>
  </r>
  <r>
    <s v="Yes"/>
    <s v="Travel_Rarely"/>
    <x v="2"/>
    <s v="Ex-Employees"/>
    <x v="1"/>
    <x v="2"/>
    <s v="STAFF-828"/>
    <n v="828"/>
    <x v="1"/>
    <x v="1"/>
    <x v="0"/>
    <s v="No"/>
    <s v="Y"/>
    <n v="3"/>
    <n v="-2"/>
    <n v="0"/>
    <n v="28"/>
    <n v="1"/>
    <n v="1"/>
    <n v="1"/>
    <n v="0"/>
    <n v="890"/>
    <n v="2"/>
    <x v="2"/>
    <n v="1"/>
    <n v="3"/>
    <n v="46"/>
    <n v="3"/>
    <n v="1"/>
    <n v="3"/>
    <n v="4382"/>
    <n v="16374"/>
    <n v="6"/>
    <n v="17"/>
    <n v="3"/>
    <n v="4"/>
    <n v="80"/>
    <n v="0"/>
    <n v="5"/>
    <n v="2"/>
    <n v="2"/>
    <n v="2"/>
    <n v="2"/>
    <n v="1"/>
  </r>
  <r>
    <s v="No"/>
    <s v="Travel_Rarely"/>
    <x v="0"/>
    <s v="Current Employees"/>
    <x v="2"/>
    <x v="5"/>
    <s v="STAFF-829"/>
    <n v="829"/>
    <x v="1"/>
    <x v="8"/>
    <x v="1"/>
    <s v="No"/>
    <s v="Y"/>
    <n v="2"/>
    <n v="-2"/>
    <n v="0"/>
    <n v="36"/>
    <n v="0"/>
    <m/>
    <n v="0"/>
    <n v="1"/>
    <n v="1041"/>
    <n v="13"/>
    <x v="3"/>
    <n v="1"/>
    <n v="3"/>
    <n v="36"/>
    <n v="3"/>
    <n v="1"/>
    <n v="3"/>
    <n v="2143"/>
    <n v="25527"/>
    <n v="4"/>
    <n v="13"/>
    <n v="3"/>
    <n v="2"/>
    <n v="80"/>
    <n v="1"/>
    <n v="8"/>
    <n v="3"/>
    <n v="5"/>
    <n v="2"/>
    <n v="0"/>
    <n v="4"/>
  </r>
  <r>
    <s v="No"/>
    <s v="Travel_Rarely"/>
    <x v="2"/>
    <s v="Current Employees"/>
    <x v="1"/>
    <x v="0"/>
    <s v="STAFF-830"/>
    <n v="830"/>
    <x v="0"/>
    <x v="3"/>
    <x v="1"/>
    <s v="No"/>
    <s v="Y"/>
    <n v="3"/>
    <n v="-2"/>
    <n v="0"/>
    <n v="32"/>
    <n v="0"/>
    <m/>
    <n v="0"/>
    <n v="1"/>
    <n v="859"/>
    <n v="4"/>
    <x v="3"/>
    <n v="1"/>
    <n v="3"/>
    <n v="98"/>
    <n v="2"/>
    <n v="2"/>
    <n v="1"/>
    <n v="6162"/>
    <n v="19124"/>
    <n v="1"/>
    <n v="12"/>
    <n v="3"/>
    <n v="3"/>
    <n v="80"/>
    <n v="1"/>
    <n v="14"/>
    <n v="3"/>
    <n v="14"/>
    <n v="13"/>
    <n v="6"/>
    <n v="8"/>
  </r>
  <r>
    <s v="No"/>
    <s v="Travel_Frequently"/>
    <x v="0"/>
    <s v="Current Employees"/>
    <x v="1"/>
    <x v="2"/>
    <s v="STAFF-832"/>
    <n v="832"/>
    <x v="1"/>
    <x v="2"/>
    <x v="0"/>
    <s v="No"/>
    <s v="Y"/>
    <n v="6"/>
    <n v="-2"/>
    <n v="0"/>
    <n v="40"/>
    <n v="0"/>
    <m/>
    <n v="0"/>
    <n v="1"/>
    <n v="720"/>
    <n v="16"/>
    <x v="2"/>
    <n v="1"/>
    <n v="1"/>
    <n v="51"/>
    <n v="2"/>
    <n v="2"/>
    <n v="3"/>
    <n v="5094"/>
    <n v="11983"/>
    <n v="6"/>
    <n v="14"/>
    <n v="3"/>
    <n v="4"/>
    <n v="80"/>
    <n v="0"/>
    <n v="10"/>
    <n v="3"/>
    <n v="1"/>
    <n v="0"/>
    <n v="0"/>
    <n v="0"/>
  </r>
  <r>
    <s v="No"/>
    <s v="Travel_Rarely"/>
    <x v="2"/>
    <s v="Current Employees"/>
    <x v="1"/>
    <x v="2"/>
    <s v="STAFF-833"/>
    <n v="833"/>
    <x v="0"/>
    <x v="3"/>
    <x v="0"/>
    <s v="Yes"/>
    <s v="Y"/>
    <n v="4"/>
    <n v="-2"/>
    <n v="0"/>
    <n v="30"/>
    <n v="0"/>
    <m/>
    <n v="0"/>
    <n v="1"/>
    <n v="946"/>
    <n v="2"/>
    <x v="3"/>
    <n v="1"/>
    <n v="3"/>
    <n v="52"/>
    <n v="2"/>
    <n v="2"/>
    <n v="4"/>
    <n v="6877"/>
    <n v="20234"/>
    <n v="5"/>
    <n v="24"/>
    <n v="4"/>
    <n v="2"/>
    <n v="80"/>
    <n v="0"/>
    <n v="12"/>
    <n v="2"/>
    <n v="0"/>
    <n v="0"/>
    <n v="0"/>
    <n v="0"/>
  </r>
  <r>
    <s v="No"/>
    <s v="Travel_Rarely"/>
    <x v="1"/>
    <s v="Current Employees"/>
    <x v="1"/>
    <x v="0"/>
    <s v="STAFF-834"/>
    <n v="834"/>
    <x v="0"/>
    <x v="1"/>
    <x v="0"/>
    <s v="No"/>
    <s v="Y"/>
    <n v="3"/>
    <n v="-2"/>
    <n v="0"/>
    <n v="45"/>
    <n v="0"/>
    <m/>
    <n v="0"/>
    <n v="1"/>
    <n v="252"/>
    <n v="2"/>
    <x v="3"/>
    <n v="1"/>
    <n v="2"/>
    <n v="95"/>
    <n v="2"/>
    <n v="1"/>
    <n v="1"/>
    <n v="2274"/>
    <n v="6153"/>
    <n v="1"/>
    <n v="14"/>
    <n v="3"/>
    <n v="4"/>
    <n v="80"/>
    <n v="0"/>
    <n v="1"/>
    <n v="3"/>
    <n v="1"/>
    <n v="0"/>
    <n v="0"/>
    <n v="0"/>
  </r>
  <r>
    <s v="No"/>
    <s v="Travel_Rarely"/>
    <x v="0"/>
    <s v="Current Employees"/>
    <x v="1"/>
    <x v="0"/>
    <s v="STAFF-836"/>
    <n v="836"/>
    <x v="1"/>
    <x v="3"/>
    <x v="1"/>
    <s v="No"/>
    <s v="Y"/>
    <n v="3"/>
    <n v="-2"/>
    <n v="0"/>
    <n v="42"/>
    <n v="0"/>
    <m/>
    <n v="0"/>
    <n v="1"/>
    <n v="933"/>
    <n v="29"/>
    <x v="3"/>
    <n v="1"/>
    <n v="2"/>
    <n v="98"/>
    <n v="3"/>
    <n v="2"/>
    <n v="1"/>
    <n v="4434"/>
    <n v="11806"/>
    <n v="1"/>
    <n v="13"/>
    <n v="3"/>
    <n v="4"/>
    <n v="80"/>
    <n v="1"/>
    <n v="10"/>
    <n v="2"/>
    <n v="9"/>
    <n v="8"/>
    <n v="7"/>
    <n v="8"/>
  </r>
  <r>
    <s v="No"/>
    <s v="Travel_Frequently"/>
    <x v="0"/>
    <s v="Current Employees"/>
    <x v="1"/>
    <x v="0"/>
    <s v="STAFF-837"/>
    <n v="837"/>
    <x v="1"/>
    <x v="4"/>
    <x v="2"/>
    <s v="No"/>
    <s v="Y"/>
    <n v="3"/>
    <n v="-2"/>
    <n v="0"/>
    <n v="38"/>
    <n v="0"/>
    <m/>
    <n v="0"/>
    <n v="1"/>
    <n v="471"/>
    <n v="12"/>
    <x v="3"/>
    <n v="1"/>
    <n v="1"/>
    <n v="45"/>
    <n v="2"/>
    <n v="2"/>
    <n v="1"/>
    <n v="6288"/>
    <n v="4284"/>
    <n v="2"/>
    <n v="15"/>
    <n v="3"/>
    <n v="3"/>
    <n v="80"/>
    <n v="1"/>
    <n v="13"/>
    <n v="2"/>
    <n v="4"/>
    <n v="3"/>
    <n v="1"/>
    <n v="2"/>
  </r>
  <r>
    <s v="No"/>
    <s v="Travel_Frequently"/>
    <x v="2"/>
    <s v="Current Employees"/>
    <x v="1"/>
    <x v="0"/>
    <s v="STAFF-838"/>
    <n v="838"/>
    <x v="0"/>
    <x v="1"/>
    <x v="0"/>
    <s v="No"/>
    <s v="Y"/>
    <n v="3"/>
    <n v="-2"/>
    <n v="0"/>
    <n v="34"/>
    <n v="0"/>
    <m/>
    <n v="0"/>
    <n v="1"/>
    <n v="702"/>
    <n v="16"/>
    <x v="2"/>
    <n v="1"/>
    <n v="3"/>
    <n v="100"/>
    <n v="2"/>
    <n v="1"/>
    <n v="1"/>
    <n v="2553"/>
    <n v="8306"/>
    <n v="1"/>
    <n v="16"/>
    <n v="3"/>
    <n v="3"/>
    <n v="80"/>
    <n v="0"/>
    <n v="6"/>
    <n v="3"/>
    <n v="5"/>
    <n v="2"/>
    <n v="1"/>
    <n v="3"/>
  </r>
  <r>
    <s v="Yes"/>
    <s v="Travel_Rarely"/>
    <x v="1"/>
    <s v="Ex-Employees"/>
    <x v="0"/>
    <x v="3"/>
    <s v="STAFF-840"/>
    <n v="840"/>
    <x v="0"/>
    <x v="0"/>
    <x v="1"/>
    <s v="No"/>
    <s v="Y"/>
    <n v="3"/>
    <n v="-2"/>
    <n v="0"/>
    <n v="49"/>
    <n v="1"/>
    <n v="1"/>
    <n v="1"/>
    <n v="0"/>
    <n v="1184"/>
    <n v="11"/>
    <x v="3"/>
    <n v="1"/>
    <n v="3"/>
    <n v="43"/>
    <n v="3"/>
    <n v="3"/>
    <n v="2"/>
    <n v="7654"/>
    <n v="5860"/>
    <n v="1"/>
    <n v="18"/>
    <n v="3"/>
    <n v="1"/>
    <n v="80"/>
    <n v="2"/>
    <n v="9"/>
    <n v="4"/>
    <n v="9"/>
    <n v="8"/>
    <n v="7"/>
    <n v="7"/>
  </r>
  <r>
    <s v="Yes"/>
    <s v="Travel_Rarely"/>
    <x v="3"/>
    <s v="Ex-Employees"/>
    <x v="0"/>
    <x v="2"/>
    <s v="STAFF-842"/>
    <n v="842"/>
    <x v="1"/>
    <x v="0"/>
    <x v="0"/>
    <s v="No"/>
    <s v="Y"/>
    <n v="3"/>
    <n v="-2"/>
    <n v="0"/>
    <n v="55"/>
    <n v="1"/>
    <n v="1"/>
    <n v="1"/>
    <n v="0"/>
    <n v="436"/>
    <n v="2"/>
    <x v="1"/>
    <n v="1"/>
    <n v="3"/>
    <n v="37"/>
    <n v="3"/>
    <n v="2"/>
    <n v="4"/>
    <n v="5160"/>
    <n v="21519"/>
    <n v="4"/>
    <n v="16"/>
    <n v="3"/>
    <n v="3"/>
    <n v="80"/>
    <n v="0"/>
    <n v="12"/>
    <n v="2"/>
    <n v="9"/>
    <n v="7"/>
    <n v="7"/>
    <n v="3"/>
  </r>
  <r>
    <s v="No"/>
    <s v="Travel_Rarely"/>
    <x v="0"/>
    <s v="Current Employees"/>
    <x v="1"/>
    <x v="0"/>
    <s v="STAFF-843"/>
    <n v="843"/>
    <x v="1"/>
    <x v="7"/>
    <x v="1"/>
    <s v="No"/>
    <s v="Y"/>
    <n v="3"/>
    <n v="-2"/>
    <n v="0"/>
    <n v="43"/>
    <n v="0"/>
    <m/>
    <n v="0"/>
    <n v="1"/>
    <n v="589"/>
    <n v="14"/>
    <x v="0"/>
    <n v="1"/>
    <n v="2"/>
    <n v="94"/>
    <n v="3"/>
    <n v="4"/>
    <n v="1"/>
    <n v="17159"/>
    <n v="5200"/>
    <n v="6"/>
    <n v="24"/>
    <n v="4"/>
    <n v="3"/>
    <n v="80"/>
    <n v="1"/>
    <n v="22"/>
    <n v="3"/>
    <n v="4"/>
    <n v="1"/>
    <n v="1"/>
    <n v="0"/>
  </r>
  <r>
    <s v="No"/>
    <s v="Travel_Rarely"/>
    <x v="2"/>
    <s v="Current Employees"/>
    <x v="1"/>
    <x v="4"/>
    <s v="STAFF-844"/>
    <n v="844"/>
    <x v="1"/>
    <x v="7"/>
    <x v="2"/>
    <s v="Yes"/>
    <s v="Y"/>
    <n v="3"/>
    <n v="-2"/>
    <n v="0"/>
    <n v="27"/>
    <n v="0"/>
    <m/>
    <n v="0"/>
    <n v="1"/>
    <n v="269"/>
    <n v="5"/>
    <x v="1"/>
    <n v="1"/>
    <n v="4"/>
    <n v="42"/>
    <n v="2"/>
    <n v="3"/>
    <n v="4"/>
    <n v="12808"/>
    <n v="8842"/>
    <n v="1"/>
    <n v="16"/>
    <n v="3"/>
    <n v="2"/>
    <n v="80"/>
    <n v="1"/>
    <n v="9"/>
    <n v="3"/>
    <n v="9"/>
    <n v="8"/>
    <n v="0"/>
    <n v="8"/>
  </r>
  <r>
    <s v="No"/>
    <s v="Travel_Rarely"/>
    <x v="0"/>
    <s v="Current Employees"/>
    <x v="1"/>
    <x v="1"/>
    <s v="STAFF-845"/>
    <n v="845"/>
    <x v="1"/>
    <x v="3"/>
    <x v="0"/>
    <s v="No"/>
    <s v="Y"/>
    <n v="3"/>
    <n v="-2"/>
    <n v="0"/>
    <n v="35"/>
    <n v="0"/>
    <m/>
    <n v="0"/>
    <n v="1"/>
    <n v="950"/>
    <n v="7"/>
    <x v="3"/>
    <n v="1"/>
    <n v="3"/>
    <n v="59"/>
    <n v="3"/>
    <n v="3"/>
    <n v="3"/>
    <n v="10221"/>
    <n v="18869"/>
    <n v="3"/>
    <n v="21"/>
    <n v="4"/>
    <n v="2"/>
    <n v="80"/>
    <n v="0"/>
    <n v="17"/>
    <n v="4"/>
    <n v="8"/>
    <n v="5"/>
    <n v="1"/>
    <n v="6"/>
  </r>
  <r>
    <s v="No"/>
    <s v="Travel_Rarely"/>
    <x v="2"/>
    <s v="Current Employees"/>
    <x v="0"/>
    <x v="3"/>
    <s v="STAFF-846"/>
    <n v="846"/>
    <x v="0"/>
    <x v="0"/>
    <x v="1"/>
    <s v="Yes"/>
    <s v="Y"/>
    <n v="2"/>
    <n v="-2"/>
    <n v="0"/>
    <n v="28"/>
    <n v="0"/>
    <m/>
    <n v="0"/>
    <n v="1"/>
    <n v="760"/>
    <n v="2"/>
    <x v="2"/>
    <n v="1"/>
    <n v="2"/>
    <n v="81"/>
    <n v="3"/>
    <n v="2"/>
    <n v="2"/>
    <n v="4779"/>
    <n v="3698"/>
    <n v="1"/>
    <n v="20"/>
    <n v="4"/>
    <n v="1"/>
    <n v="80"/>
    <n v="0"/>
    <n v="8"/>
    <n v="3"/>
    <n v="8"/>
    <n v="7"/>
    <n v="7"/>
    <n v="5"/>
  </r>
  <r>
    <s v="No"/>
    <s v="Travel_Rarely"/>
    <x v="2"/>
    <s v="Current Employees"/>
    <x v="2"/>
    <x v="5"/>
    <s v="STAFF-847"/>
    <n v="847"/>
    <x v="1"/>
    <x v="8"/>
    <x v="1"/>
    <s v="No"/>
    <s v="Y"/>
    <n v="1"/>
    <n v="-2"/>
    <n v="0"/>
    <n v="34"/>
    <n v="0"/>
    <m/>
    <n v="0"/>
    <n v="1"/>
    <n v="829"/>
    <n v="3"/>
    <x v="0"/>
    <n v="1"/>
    <n v="3"/>
    <n v="88"/>
    <n v="3"/>
    <n v="1"/>
    <n v="4"/>
    <n v="3737"/>
    <n v="2243"/>
    <n v="0"/>
    <n v="19"/>
    <n v="3"/>
    <n v="3"/>
    <n v="80"/>
    <n v="1"/>
    <n v="4"/>
    <n v="1"/>
    <n v="3"/>
    <n v="2"/>
    <n v="0"/>
    <n v="2"/>
  </r>
  <r>
    <s v="Yes"/>
    <s v="Travel_Frequently"/>
    <x v="2"/>
    <s v="Ex-Employees"/>
    <x v="1"/>
    <x v="2"/>
    <s v="STAFF-848"/>
    <n v="848"/>
    <x v="0"/>
    <x v="1"/>
    <x v="1"/>
    <s v="Yes"/>
    <s v="Y"/>
    <n v="2"/>
    <n v="-2"/>
    <n v="0"/>
    <n v="26"/>
    <n v="1"/>
    <n v="1"/>
    <n v="1"/>
    <n v="0"/>
    <n v="887"/>
    <n v="5"/>
    <x v="0"/>
    <n v="1"/>
    <n v="3"/>
    <n v="88"/>
    <n v="2"/>
    <n v="1"/>
    <n v="3"/>
    <n v="2366"/>
    <n v="20898"/>
    <n v="1"/>
    <n v="14"/>
    <n v="3"/>
    <n v="1"/>
    <n v="80"/>
    <n v="1"/>
    <n v="8"/>
    <n v="3"/>
    <n v="8"/>
    <n v="7"/>
    <n v="1"/>
    <n v="7"/>
  </r>
  <r>
    <s v="No"/>
    <s v="Non-Travel"/>
    <x v="2"/>
    <s v="Current Employees"/>
    <x v="1"/>
    <x v="2"/>
    <s v="STAFF-850"/>
    <n v="850"/>
    <x v="1"/>
    <x v="1"/>
    <x v="1"/>
    <s v="No"/>
    <s v="Y"/>
    <n v="6"/>
    <n v="-2"/>
    <n v="0"/>
    <n v="27"/>
    <n v="0"/>
    <m/>
    <n v="0"/>
    <n v="1"/>
    <n v="443"/>
    <n v="3"/>
    <x v="3"/>
    <n v="1"/>
    <n v="4"/>
    <n v="50"/>
    <n v="3"/>
    <n v="1"/>
    <n v="4"/>
    <n v="1706"/>
    <n v="16571"/>
    <n v="1"/>
    <n v="11"/>
    <n v="3"/>
    <n v="3"/>
    <n v="80"/>
    <n v="3"/>
    <n v="0"/>
    <n v="2"/>
    <n v="0"/>
    <n v="0"/>
    <n v="0"/>
    <n v="0"/>
  </r>
  <r>
    <s v="No"/>
    <s v="Travel_Rarely"/>
    <x v="1"/>
    <s v="Current Employees"/>
    <x v="0"/>
    <x v="3"/>
    <s v="STAFF-851"/>
    <n v="851"/>
    <x v="0"/>
    <x v="5"/>
    <x v="1"/>
    <s v="No"/>
    <s v="Y"/>
    <n v="2"/>
    <n v="-2"/>
    <n v="0"/>
    <n v="51"/>
    <n v="0"/>
    <m/>
    <n v="0"/>
    <n v="1"/>
    <n v="1318"/>
    <n v="26"/>
    <x v="2"/>
    <n v="1"/>
    <n v="1"/>
    <n v="66"/>
    <n v="3"/>
    <n v="4"/>
    <n v="2"/>
    <n v="16307"/>
    <n v="5594"/>
    <n v="2"/>
    <n v="14"/>
    <n v="3"/>
    <n v="3"/>
    <n v="80"/>
    <n v="1"/>
    <n v="29"/>
    <n v="2"/>
    <n v="20"/>
    <n v="6"/>
    <n v="4"/>
    <n v="17"/>
  </r>
  <r>
    <s v="No"/>
    <s v="Travel_Rarely"/>
    <x v="0"/>
    <s v="Current Employees"/>
    <x v="1"/>
    <x v="2"/>
    <s v="STAFF-852"/>
    <n v="852"/>
    <x v="1"/>
    <x v="4"/>
    <x v="0"/>
    <s v="No"/>
    <s v="Y"/>
    <n v="2"/>
    <n v="-2"/>
    <n v="0"/>
    <n v="44"/>
    <n v="0"/>
    <m/>
    <n v="0"/>
    <n v="1"/>
    <n v="625"/>
    <n v="4"/>
    <x v="3"/>
    <n v="1"/>
    <n v="4"/>
    <n v="50"/>
    <n v="3"/>
    <n v="2"/>
    <n v="3"/>
    <n v="5933"/>
    <n v="5197"/>
    <n v="9"/>
    <n v="12"/>
    <n v="3"/>
    <n v="4"/>
    <n v="80"/>
    <n v="0"/>
    <n v="10"/>
    <n v="2"/>
    <n v="5"/>
    <n v="2"/>
    <n v="2"/>
    <n v="3"/>
  </r>
  <r>
    <s v="No"/>
    <s v="Travel_Rarely"/>
    <x v="2"/>
    <s v="Current Employees"/>
    <x v="1"/>
    <x v="2"/>
    <s v="STAFF-854"/>
    <n v="854"/>
    <x v="1"/>
    <x v="1"/>
    <x v="0"/>
    <s v="No"/>
    <s v="Y"/>
    <n v="3"/>
    <n v="-2"/>
    <n v="0"/>
    <n v="25"/>
    <n v="0"/>
    <m/>
    <n v="0"/>
    <n v="1"/>
    <n v="180"/>
    <n v="2"/>
    <x v="1"/>
    <n v="1"/>
    <n v="1"/>
    <n v="65"/>
    <n v="4"/>
    <n v="1"/>
    <n v="3"/>
    <n v="3424"/>
    <n v="21632"/>
    <n v="7"/>
    <n v="13"/>
    <n v="3"/>
    <n v="3"/>
    <n v="80"/>
    <n v="0"/>
    <n v="6"/>
    <n v="2"/>
    <n v="4"/>
    <n v="3"/>
    <n v="0"/>
    <n v="1"/>
  </r>
  <r>
    <s v="No"/>
    <s v="Travel_Rarely"/>
    <x v="2"/>
    <s v="Current Employees"/>
    <x v="0"/>
    <x v="2"/>
    <s v="STAFF-855"/>
    <n v="855"/>
    <x v="1"/>
    <x v="0"/>
    <x v="2"/>
    <s v="No"/>
    <s v="Y"/>
    <n v="5"/>
    <n v="-2"/>
    <n v="0"/>
    <n v="33"/>
    <n v="0"/>
    <m/>
    <n v="0"/>
    <n v="1"/>
    <n v="586"/>
    <n v="1"/>
    <x v="3"/>
    <n v="1"/>
    <n v="1"/>
    <n v="48"/>
    <n v="4"/>
    <n v="2"/>
    <n v="3"/>
    <n v="4037"/>
    <n v="21816"/>
    <n v="1"/>
    <n v="22"/>
    <n v="4"/>
    <n v="1"/>
    <n v="80"/>
    <n v="1"/>
    <n v="9"/>
    <n v="3"/>
    <n v="9"/>
    <n v="8"/>
    <n v="0"/>
    <n v="8"/>
  </r>
  <r>
    <s v="No"/>
    <s v="Travel_Rarely"/>
    <x v="0"/>
    <s v="Current Employees"/>
    <x v="1"/>
    <x v="2"/>
    <s v="STAFF-856"/>
    <n v="856"/>
    <x v="0"/>
    <x v="1"/>
    <x v="0"/>
    <s v="No"/>
    <s v="Y"/>
    <n v="3"/>
    <n v="-2"/>
    <n v="0"/>
    <n v="35"/>
    <n v="0"/>
    <m/>
    <n v="0"/>
    <n v="1"/>
    <n v="1343"/>
    <n v="27"/>
    <x v="1"/>
    <n v="1"/>
    <n v="3"/>
    <n v="53"/>
    <n v="2"/>
    <n v="1"/>
    <n v="3"/>
    <n v="2559"/>
    <n v="17852"/>
    <n v="1"/>
    <n v="11"/>
    <n v="3"/>
    <n v="4"/>
    <n v="80"/>
    <n v="0"/>
    <n v="6"/>
    <n v="2"/>
    <n v="6"/>
    <n v="5"/>
    <n v="1"/>
    <n v="1"/>
  </r>
  <r>
    <s v="No"/>
    <s v="Travel_Rarely"/>
    <x v="0"/>
    <s v="Current Employees"/>
    <x v="0"/>
    <x v="0"/>
    <s v="STAFF-857"/>
    <n v="857"/>
    <x v="1"/>
    <x v="0"/>
    <x v="1"/>
    <s v="Yes"/>
    <s v="Y"/>
    <n v="1"/>
    <n v="-2"/>
    <n v="0"/>
    <n v="36"/>
    <n v="0"/>
    <m/>
    <n v="0"/>
    <n v="1"/>
    <n v="928"/>
    <n v="1"/>
    <x v="0"/>
    <n v="1"/>
    <n v="2"/>
    <n v="56"/>
    <n v="3"/>
    <n v="2"/>
    <n v="1"/>
    <n v="6201"/>
    <n v="2823"/>
    <n v="1"/>
    <n v="14"/>
    <n v="3"/>
    <n v="4"/>
    <n v="80"/>
    <n v="1"/>
    <n v="18"/>
    <n v="2"/>
    <n v="18"/>
    <n v="14"/>
    <n v="4"/>
    <n v="11"/>
  </r>
  <r>
    <s v="No"/>
    <s v="Travel_Rarely"/>
    <x v="2"/>
    <s v="Current Employees"/>
    <x v="0"/>
    <x v="0"/>
    <s v="STAFF-859"/>
    <n v="859"/>
    <x v="1"/>
    <x v="0"/>
    <x v="2"/>
    <s v="No"/>
    <s v="Y"/>
    <n v="3"/>
    <n v="-2"/>
    <n v="0"/>
    <n v="32"/>
    <n v="0"/>
    <m/>
    <n v="0"/>
    <n v="1"/>
    <n v="117"/>
    <n v="13"/>
    <x v="2"/>
    <n v="1"/>
    <n v="2"/>
    <n v="73"/>
    <n v="3"/>
    <n v="2"/>
    <n v="1"/>
    <n v="4403"/>
    <n v="9250"/>
    <n v="2"/>
    <n v="11"/>
    <n v="3"/>
    <n v="3"/>
    <n v="80"/>
    <n v="1"/>
    <n v="8"/>
    <n v="2"/>
    <n v="5"/>
    <n v="2"/>
    <n v="0"/>
    <n v="3"/>
  </r>
  <r>
    <s v="No"/>
    <s v="Travel_Frequently"/>
    <x v="2"/>
    <s v="Current Employees"/>
    <x v="1"/>
    <x v="0"/>
    <s v="STAFF-861"/>
    <n v="861"/>
    <x v="1"/>
    <x v="1"/>
    <x v="2"/>
    <s v="No"/>
    <s v="Y"/>
    <n v="3"/>
    <n v="-2"/>
    <n v="0"/>
    <n v="30"/>
    <n v="0"/>
    <m/>
    <n v="0"/>
    <n v="1"/>
    <n v="1012"/>
    <n v="5"/>
    <x v="2"/>
    <n v="1"/>
    <n v="2"/>
    <n v="75"/>
    <n v="2"/>
    <n v="1"/>
    <n v="1"/>
    <n v="3761"/>
    <n v="2373"/>
    <n v="9"/>
    <n v="12"/>
    <n v="3"/>
    <n v="2"/>
    <n v="80"/>
    <n v="1"/>
    <n v="10"/>
    <n v="2"/>
    <n v="5"/>
    <n v="4"/>
    <n v="0"/>
    <n v="3"/>
  </r>
  <r>
    <s v="No"/>
    <s v="Travel_Rarely"/>
    <x v="1"/>
    <s v="Current Employees"/>
    <x v="0"/>
    <x v="3"/>
    <s v="STAFF-862"/>
    <n v="862"/>
    <x v="0"/>
    <x v="0"/>
    <x v="1"/>
    <s v="Yes"/>
    <s v="Y"/>
    <n v="3"/>
    <n v="-2"/>
    <n v="0"/>
    <n v="53"/>
    <n v="0"/>
    <m/>
    <n v="0"/>
    <n v="1"/>
    <n v="661"/>
    <n v="7"/>
    <x v="0"/>
    <n v="1"/>
    <n v="1"/>
    <n v="78"/>
    <n v="2"/>
    <n v="3"/>
    <n v="2"/>
    <n v="10934"/>
    <n v="20715"/>
    <n v="7"/>
    <n v="18"/>
    <n v="3"/>
    <n v="4"/>
    <n v="80"/>
    <n v="1"/>
    <n v="35"/>
    <n v="3"/>
    <n v="5"/>
    <n v="2"/>
    <n v="0"/>
    <n v="4"/>
  </r>
  <r>
    <s v="No"/>
    <s v="Travel_Rarely"/>
    <x v="1"/>
    <s v="Current Employees"/>
    <x v="0"/>
    <x v="3"/>
    <s v="STAFF-864"/>
    <n v="864"/>
    <x v="1"/>
    <x v="0"/>
    <x v="2"/>
    <s v="Yes"/>
    <s v="Y"/>
    <n v="2"/>
    <n v="-2"/>
    <n v="0"/>
    <n v="45"/>
    <n v="0"/>
    <m/>
    <n v="0"/>
    <n v="1"/>
    <n v="930"/>
    <n v="9"/>
    <x v="3"/>
    <n v="1"/>
    <n v="4"/>
    <n v="74"/>
    <n v="3"/>
    <n v="3"/>
    <n v="2"/>
    <n v="10761"/>
    <n v="19239"/>
    <n v="4"/>
    <n v="12"/>
    <n v="3"/>
    <n v="3"/>
    <n v="80"/>
    <n v="1"/>
    <n v="18"/>
    <n v="3"/>
    <n v="5"/>
    <n v="4"/>
    <n v="0"/>
    <n v="2"/>
  </r>
  <r>
    <s v="No"/>
    <s v="Travel_Rarely"/>
    <x v="2"/>
    <s v="Current Employees"/>
    <x v="1"/>
    <x v="2"/>
    <s v="STAFF-865"/>
    <n v="865"/>
    <x v="0"/>
    <x v="1"/>
    <x v="1"/>
    <s v="No"/>
    <s v="Y"/>
    <n v="3"/>
    <n v="-2"/>
    <n v="0"/>
    <n v="32"/>
    <n v="0"/>
    <m/>
    <n v="0"/>
    <n v="1"/>
    <n v="638"/>
    <n v="8"/>
    <x v="0"/>
    <n v="1"/>
    <n v="3"/>
    <n v="91"/>
    <n v="4"/>
    <n v="2"/>
    <n v="3"/>
    <n v="5175"/>
    <n v="22162"/>
    <n v="5"/>
    <n v="12"/>
    <n v="3"/>
    <n v="3"/>
    <n v="80"/>
    <n v="1"/>
    <n v="9"/>
    <n v="2"/>
    <n v="5"/>
    <n v="3"/>
    <n v="1"/>
    <n v="3"/>
  </r>
  <r>
    <s v="No"/>
    <s v="Travel_Frequently"/>
    <x v="1"/>
    <s v="Current Employees"/>
    <x v="1"/>
    <x v="2"/>
    <s v="STAFF-867"/>
    <n v="867"/>
    <x v="0"/>
    <x v="3"/>
    <x v="1"/>
    <s v="No"/>
    <s v="Y"/>
    <n v="3"/>
    <n v="-2"/>
    <n v="0"/>
    <n v="52"/>
    <n v="0"/>
    <m/>
    <n v="0"/>
    <n v="1"/>
    <n v="890"/>
    <n v="25"/>
    <x v="2"/>
    <n v="1"/>
    <n v="3"/>
    <n v="81"/>
    <n v="2"/>
    <n v="4"/>
    <n v="4"/>
    <n v="13826"/>
    <n v="19028"/>
    <n v="3"/>
    <n v="22"/>
    <n v="4"/>
    <n v="3"/>
    <n v="80"/>
    <n v="0"/>
    <n v="31"/>
    <n v="3"/>
    <n v="9"/>
    <n v="8"/>
    <n v="0"/>
    <n v="0"/>
  </r>
  <r>
    <s v="No"/>
    <s v="Travel_Rarely"/>
    <x v="0"/>
    <s v="Current Employees"/>
    <x v="0"/>
    <x v="3"/>
    <s v="STAFF-868"/>
    <n v="868"/>
    <x v="1"/>
    <x v="0"/>
    <x v="2"/>
    <s v="No"/>
    <s v="Y"/>
    <n v="2"/>
    <n v="-2"/>
    <n v="0"/>
    <n v="37"/>
    <n v="0"/>
    <m/>
    <n v="0"/>
    <n v="1"/>
    <n v="342"/>
    <n v="16"/>
    <x v="2"/>
    <n v="1"/>
    <n v="4"/>
    <n v="66"/>
    <n v="2"/>
    <n v="2"/>
    <n v="2"/>
    <n v="6334"/>
    <n v="24558"/>
    <n v="4"/>
    <n v="19"/>
    <n v="3"/>
    <n v="4"/>
    <n v="80"/>
    <n v="2"/>
    <n v="9"/>
    <n v="3"/>
    <n v="1"/>
    <n v="0"/>
    <n v="0"/>
    <n v="0"/>
  </r>
  <r>
    <s v="No"/>
    <s v="Travel_Rarely"/>
    <x v="2"/>
    <s v="Current Employees"/>
    <x v="2"/>
    <x v="2"/>
    <s v="STAFF-869"/>
    <n v="869"/>
    <x v="1"/>
    <x v="8"/>
    <x v="2"/>
    <s v="No"/>
    <s v="Y"/>
    <n v="6"/>
    <n v="-2"/>
    <n v="0"/>
    <n v="28"/>
    <n v="0"/>
    <m/>
    <n v="0"/>
    <n v="1"/>
    <n v="1169"/>
    <n v="8"/>
    <x v="0"/>
    <n v="1"/>
    <n v="2"/>
    <n v="63"/>
    <n v="2"/>
    <n v="1"/>
    <n v="4"/>
    <n v="4936"/>
    <n v="23965"/>
    <n v="1"/>
    <n v="13"/>
    <n v="3"/>
    <n v="4"/>
    <n v="80"/>
    <n v="1"/>
    <n v="6"/>
    <n v="3"/>
    <n v="5"/>
    <n v="1"/>
    <n v="0"/>
    <n v="4"/>
  </r>
  <r>
    <s v="No"/>
    <s v="Travel_Rarely"/>
    <x v="4"/>
    <s v="Current Employees"/>
    <x v="1"/>
    <x v="0"/>
    <s v="STAFF-872"/>
    <n v="872"/>
    <x v="1"/>
    <x v="3"/>
    <x v="1"/>
    <s v="No"/>
    <s v="Y"/>
    <n v="2"/>
    <n v="-2"/>
    <n v="0"/>
    <n v="22"/>
    <n v="0"/>
    <m/>
    <n v="0"/>
    <n v="1"/>
    <n v="1230"/>
    <n v="1"/>
    <x v="0"/>
    <n v="1"/>
    <n v="4"/>
    <n v="33"/>
    <n v="2"/>
    <n v="2"/>
    <n v="1"/>
    <n v="4775"/>
    <n v="19146"/>
    <n v="6"/>
    <n v="22"/>
    <n v="4"/>
    <n v="1"/>
    <n v="80"/>
    <n v="2"/>
    <n v="4"/>
    <n v="1"/>
    <n v="2"/>
    <n v="2"/>
    <n v="2"/>
    <n v="2"/>
  </r>
  <r>
    <s v="No"/>
    <s v="Travel_Rarely"/>
    <x v="0"/>
    <s v="Current Employees"/>
    <x v="1"/>
    <x v="0"/>
    <s v="STAFF-874"/>
    <n v="874"/>
    <x v="1"/>
    <x v="2"/>
    <x v="1"/>
    <s v="Yes"/>
    <s v="Y"/>
    <n v="2"/>
    <n v="-2"/>
    <n v="0"/>
    <n v="44"/>
    <n v="0"/>
    <m/>
    <n v="0"/>
    <n v="1"/>
    <n v="986"/>
    <n v="8"/>
    <x v="2"/>
    <n v="1"/>
    <n v="1"/>
    <n v="62"/>
    <n v="4"/>
    <n v="1"/>
    <n v="1"/>
    <n v="2818"/>
    <n v="5044"/>
    <n v="2"/>
    <n v="24"/>
    <n v="4"/>
    <n v="3"/>
    <n v="80"/>
    <n v="1"/>
    <n v="10"/>
    <n v="2"/>
    <n v="3"/>
    <n v="2"/>
    <n v="0"/>
    <n v="2"/>
  </r>
  <r>
    <s v="No"/>
    <s v="Travel_Frequently"/>
    <x v="0"/>
    <s v="Current Employees"/>
    <x v="1"/>
    <x v="2"/>
    <s v="STAFF-875"/>
    <n v="875"/>
    <x v="1"/>
    <x v="1"/>
    <x v="0"/>
    <s v="Yes"/>
    <s v="Y"/>
    <n v="2"/>
    <n v="-2"/>
    <n v="0"/>
    <n v="42"/>
    <n v="0"/>
    <m/>
    <n v="0"/>
    <n v="1"/>
    <n v="1271"/>
    <n v="2"/>
    <x v="1"/>
    <n v="1"/>
    <n v="2"/>
    <n v="35"/>
    <n v="3"/>
    <n v="1"/>
    <n v="4"/>
    <n v="2515"/>
    <n v="9068"/>
    <n v="5"/>
    <n v="14"/>
    <n v="3"/>
    <n v="4"/>
    <n v="80"/>
    <n v="0"/>
    <n v="8"/>
    <n v="3"/>
    <n v="2"/>
    <n v="1"/>
    <n v="2"/>
    <n v="2"/>
  </r>
  <r>
    <s v="No"/>
    <s v="Travel_Rarely"/>
    <x v="0"/>
    <s v="Current Employees"/>
    <x v="2"/>
    <x v="0"/>
    <s v="STAFF-878"/>
    <n v="878"/>
    <x v="1"/>
    <x v="8"/>
    <x v="1"/>
    <s v="No"/>
    <s v="Y"/>
    <n v="3"/>
    <n v="-2"/>
    <n v="0"/>
    <n v="36"/>
    <n v="0"/>
    <m/>
    <n v="0"/>
    <n v="1"/>
    <n v="1278"/>
    <n v="8"/>
    <x v="3"/>
    <n v="1"/>
    <n v="1"/>
    <n v="77"/>
    <n v="2"/>
    <n v="1"/>
    <n v="1"/>
    <n v="2342"/>
    <n v="8635"/>
    <n v="0"/>
    <n v="21"/>
    <n v="4"/>
    <n v="3"/>
    <n v="80"/>
    <n v="0"/>
    <n v="6"/>
    <n v="3"/>
    <n v="5"/>
    <n v="4"/>
    <n v="0"/>
    <n v="3"/>
  </r>
  <r>
    <s v="No"/>
    <s v="Travel_Rarely"/>
    <x v="2"/>
    <s v="Current Employees"/>
    <x v="0"/>
    <x v="1"/>
    <s v="STAFF-879"/>
    <n v="879"/>
    <x v="1"/>
    <x v="0"/>
    <x v="1"/>
    <s v="Yes"/>
    <s v="Y"/>
    <n v="3"/>
    <n v="-2"/>
    <n v="0"/>
    <n v="25"/>
    <n v="0"/>
    <m/>
    <n v="0"/>
    <n v="1"/>
    <n v="141"/>
    <n v="3"/>
    <x v="1"/>
    <n v="1"/>
    <n v="3"/>
    <n v="98"/>
    <n v="3"/>
    <n v="2"/>
    <n v="3"/>
    <n v="4194"/>
    <n v="14363"/>
    <n v="1"/>
    <n v="18"/>
    <n v="3"/>
    <n v="4"/>
    <n v="80"/>
    <n v="0"/>
    <n v="5"/>
    <n v="3"/>
    <n v="5"/>
    <n v="3"/>
    <n v="0"/>
    <n v="3"/>
  </r>
  <r>
    <s v="No"/>
    <s v="Travel_Rarely"/>
    <x v="0"/>
    <s v="Current Employees"/>
    <x v="1"/>
    <x v="0"/>
    <s v="STAFF-880"/>
    <n v="880"/>
    <x v="0"/>
    <x v="3"/>
    <x v="1"/>
    <s v="Yes"/>
    <s v="Y"/>
    <n v="2"/>
    <n v="-2"/>
    <n v="0"/>
    <n v="35"/>
    <n v="0"/>
    <m/>
    <n v="0"/>
    <n v="1"/>
    <n v="607"/>
    <n v="9"/>
    <x v="3"/>
    <n v="1"/>
    <n v="4"/>
    <n v="66"/>
    <n v="2"/>
    <n v="3"/>
    <n v="1"/>
    <n v="10685"/>
    <n v="23457"/>
    <n v="1"/>
    <n v="20"/>
    <n v="4"/>
    <n v="2"/>
    <n v="80"/>
    <n v="1"/>
    <n v="17"/>
    <n v="3"/>
    <n v="17"/>
    <n v="14"/>
    <n v="5"/>
    <n v="15"/>
  </r>
  <r>
    <s v="Yes"/>
    <s v="Travel_Frequently"/>
    <x v="0"/>
    <s v="Ex-Employees"/>
    <x v="1"/>
    <x v="0"/>
    <s v="STAFF-881"/>
    <n v="881"/>
    <x v="0"/>
    <x v="1"/>
    <x v="2"/>
    <s v="Yes"/>
    <s v="Y"/>
    <n v="3"/>
    <n v="-2"/>
    <n v="0"/>
    <n v="35"/>
    <n v="1"/>
    <n v="1"/>
    <n v="1"/>
    <n v="0"/>
    <n v="130"/>
    <n v="25"/>
    <x v="2"/>
    <n v="1"/>
    <n v="4"/>
    <n v="96"/>
    <n v="3"/>
    <n v="1"/>
    <n v="1"/>
    <n v="2022"/>
    <n v="16612"/>
    <n v="1"/>
    <n v="19"/>
    <n v="3"/>
    <n v="1"/>
    <n v="80"/>
    <n v="1"/>
    <n v="10"/>
    <n v="2"/>
    <n v="10"/>
    <n v="2"/>
    <n v="7"/>
    <n v="8"/>
  </r>
  <r>
    <s v="No"/>
    <s v="Non-Travel"/>
    <x v="2"/>
    <s v="Current Employees"/>
    <x v="1"/>
    <x v="0"/>
    <s v="STAFF-882"/>
    <n v="882"/>
    <x v="1"/>
    <x v="2"/>
    <x v="2"/>
    <s v="No"/>
    <s v="Y"/>
    <n v="2"/>
    <n v="-2"/>
    <n v="0"/>
    <n v="32"/>
    <n v="0"/>
    <m/>
    <n v="0"/>
    <n v="1"/>
    <n v="300"/>
    <n v="1"/>
    <x v="3"/>
    <n v="1"/>
    <n v="4"/>
    <n v="61"/>
    <n v="3"/>
    <n v="1"/>
    <n v="1"/>
    <n v="2314"/>
    <n v="9148"/>
    <n v="0"/>
    <n v="12"/>
    <n v="3"/>
    <n v="2"/>
    <n v="80"/>
    <n v="1"/>
    <n v="4"/>
    <n v="3"/>
    <n v="3"/>
    <n v="0"/>
    <n v="0"/>
    <n v="2"/>
  </r>
  <r>
    <s v="No"/>
    <s v="Travel_Rarely"/>
    <x v="2"/>
    <s v="Current Employees"/>
    <x v="0"/>
    <x v="3"/>
    <s v="STAFF-885"/>
    <n v="885"/>
    <x v="1"/>
    <x v="0"/>
    <x v="1"/>
    <s v="No"/>
    <s v="Y"/>
    <n v="1"/>
    <n v="-2"/>
    <n v="0"/>
    <n v="25"/>
    <n v="0"/>
    <m/>
    <n v="0"/>
    <n v="1"/>
    <n v="583"/>
    <n v="4"/>
    <x v="1"/>
    <n v="1"/>
    <n v="3"/>
    <n v="87"/>
    <n v="2"/>
    <n v="2"/>
    <n v="2"/>
    <n v="4256"/>
    <n v="18154"/>
    <n v="1"/>
    <n v="12"/>
    <n v="3"/>
    <n v="1"/>
    <n v="80"/>
    <n v="0"/>
    <n v="5"/>
    <n v="4"/>
    <n v="5"/>
    <n v="2"/>
    <n v="0"/>
    <n v="3"/>
  </r>
  <r>
    <s v="No"/>
    <s v="Travel_Rarely"/>
    <x v="1"/>
    <s v="Current Employees"/>
    <x v="1"/>
    <x v="4"/>
    <s v="STAFF-887"/>
    <n v="887"/>
    <x v="0"/>
    <x v="1"/>
    <x v="1"/>
    <s v="No"/>
    <s v="Y"/>
    <n v="2"/>
    <n v="-2"/>
    <n v="0"/>
    <n v="49"/>
    <n v="0"/>
    <m/>
    <n v="0"/>
    <n v="1"/>
    <n v="1418"/>
    <n v="1"/>
    <x v="3"/>
    <n v="1"/>
    <n v="4"/>
    <n v="36"/>
    <n v="3"/>
    <n v="1"/>
    <n v="4"/>
    <n v="3580"/>
    <n v="10554"/>
    <n v="2"/>
    <n v="16"/>
    <n v="3"/>
    <n v="2"/>
    <n v="80"/>
    <n v="1"/>
    <n v="7"/>
    <n v="3"/>
    <n v="4"/>
    <n v="2"/>
    <n v="0"/>
    <n v="2"/>
  </r>
  <r>
    <s v="No"/>
    <s v="Non-Travel"/>
    <x v="4"/>
    <s v="Current Employees"/>
    <x v="1"/>
    <x v="0"/>
    <s v="STAFF-888"/>
    <n v="888"/>
    <x v="1"/>
    <x v="2"/>
    <x v="1"/>
    <s v="No"/>
    <s v="Y"/>
    <n v="2"/>
    <n v="-2"/>
    <n v="0"/>
    <n v="24"/>
    <n v="0"/>
    <m/>
    <n v="0"/>
    <n v="1"/>
    <n v="1269"/>
    <n v="4"/>
    <x v="1"/>
    <n v="1"/>
    <n v="1"/>
    <n v="46"/>
    <n v="2"/>
    <n v="1"/>
    <n v="1"/>
    <n v="3162"/>
    <n v="10778"/>
    <n v="0"/>
    <n v="17"/>
    <n v="3"/>
    <n v="4"/>
    <n v="80"/>
    <n v="0"/>
    <n v="6"/>
    <n v="2"/>
    <n v="5"/>
    <n v="2"/>
    <n v="3"/>
    <n v="4"/>
  </r>
  <r>
    <s v="No"/>
    <s v="Travel_Frequently"/>
    <x v="2"/>
    <s v="Current Employees"/>
    <x v="0"/>
    <x v="0"/>
    <s v="STAFF-889"/>
    <n v="889"/>
    <x v="1"/>
    <x v="0"/>
    <x v="1"/>
    <s v="No"/>
    <s v="Y"/>
    <n v="3"/>
    <n v="-2"/>
    <n v="0"/>
    <n v="32"/>
    <n v="0"/>
    <m/>
    <n v="0"/>
    <n v="1"/>
    <n v="379"/>
    <n v="5"/>
    <x v="0"/>
    <n v="1"/>
    <n v="2"/>
    <n v="48"/>
    <n v="3"/>
    <n v="2"/>
    <n v="1"/>
    <n v="6524"/>
    <n v="8891"/>
    <n v="1"/>
    <n v="14"/>
    <n v="3"/>
    <n v="4"/>
    <n v="80"/>
    <n v="1"/>
    <n v="10"/>
    <n v="3"/>
    <n v="10"/>
    <n v="8"/>
    <n v="5"/>
    <n v="3"/>
  </r>
  <r>
    <s v="No"/>
    <s v="Travel_Rarely"/>
    <x v="0"/>
    <s v="Current Employees"/>
    <x v="0"/>
    <x v="3"/>
    <s v="STAFF-893"/>
    <n v="893"/>
    <x v="1"/>
    <x v="6"/>
    <x v="1"/>
    <s v="No"/>
    <s v="Y"/>
    <n v="3"/>
    <n v="-2"/>
    <n v="0"/>
    <n v="38"/>
    <n v="0"/>
    <m/>
    <n v="0"/>
    <n v="1"/>
    <n v="395"/>
    <n v="9"/>
    <x v="3"/>
    <n v="1"/>
    <n v="2"/>
    <n v="98"/>
    <n v="2"/>
    <n v="1"/>
    <n v="2"/>
    <n v="2899"/>
    <n v="12102"/>
    <n v="0"/>
    <n v="19"/>
    <n v="3"/>
    <n v="4"/>
    <n v="80"/>
    <n v="1"/>
    <n v="3"/>
    <n v="3"/>
    <n v="2"/>
    <n v="2"/>
    <n v="1"/>
    <n v="2"/>
  </r>
  <r>
    <s v="No"/>
    <s v="Travel_Rarely"/>
    <x v="0"/>
    <s v="Current Employees"/>
    <x v="1"/>
    <x v="0"/>
    <s v="STAFF-894"/>
    <n v="894"/>
    <x v="0"/>
    <x v="2"/>
    <x v="1"/>
    <s v="Yes"/>
    <s v="Y"/>
    <n v="1"/>
    <n v="-2"/>
    <n v="0"/>
    <n v="42"/>
    <n v="0"/>
    <m/>
    <n v="0"/>
    <n v="1"/>
    <n v="1265"/>
    <n v="3"/>
    <x v="3"/>
    <n v="1"/>
    <n v="3"/>
    <n v="95"/>
    <n v="4"/>
    <n v="2"/>
    <n v="1"/>
    <n v="5231"/>
    <n v="23726"/>
    <n v="2"/>
    <n v="13"/>
    <n v="3"/>
    <n v="2"/>
    <n v="80"/>
    <n v="1"/>
    <n v="17"/>
    <n v="2"/>
    <n v="5"/>
    <n v="3"/>
    <n v="1"/>
    <n v="3"/>
  </r>
  <r>
    <s v="No"/>
    <s v="Travel_Rarely"/>
    <x v="2"/>
    <s v="Current Employees"/>
    <x v="1"/>
    <x v="0"/>
    <s v="STAFF-895"/>
    <n v="895"/>
    <x v="1"/>
    <x v="1"/>
    <x v="1"/>
    <s v="Yes"/>
    <s v="Y"/>
    <n v="2"/>
    <n v="-2"/>
    <n v="0"/>
    <n v="31"/>
    <n v="0"/>
    <m/>
    <n v="0"/>
    <n v="1"/>
    <n v="1222"/>
    <n v="11"/>
    <x v="2"/>
    <n v="1"/>
    <n v="4"/>
    <n v="48"/>
    <n v="3"/>
    <n v="1"/>
    <n v="1"/>
    <n v="2356"/>
    <n v="14871"/>
    <n v="3"/>
    <n v="19"/>
    <n v="3"/>
    <n v="2"/>
    <n v="80"/>
    <n v="1"/>
    <n v="8"/>
    <n v="3"/>
    <n v="6"/>
    <n v="4"/>
    <n v="0"/>
    <n v="2"/>
  </r>
  <r>
    <s v="Yes"/>
    <s v="Travel_Rarely"/>
    <x v="2"/>
    <s v="Ex-Employees"/>
    <x v="0"/>
    <x v="2"/>
    <s v="STAFF-896"/>
    <n v="896"/>
    <x v="0"/>
    <x v="6"/>
    <x v="2"/>
    <s v="Yes"/>
    <s v="Y"/>
    <n v="3"/>
    <n v="-2"/>
    <n v="0"/>
    <n v="29"/>
    <n v="1"/>
    <n v="1"/>
    <n v="1"/>
    <n v="0"/>
    <n v="341"/>
    <n v="1"/>
    <x v="3"/>
    <n v="1"/>
    <n v="2"/>
    <n v="48"/>
    <n v="2"/>
    <n v="1"/>
    <n v="3"/>
    <n v="2800"/>
    <n v="23522"/>
    <n v="6"/>
    <n v="19"/>
    <n v="3"/>
    <n v="3"/>
    <n v="80"/>
    <n v="3"/>
    <n v="5"/>
    <n v="3"/>
    <n v="3"/>
    <n v="2"/>
    <n v="0"/>
    <n v="2"/>
  </r>
  <r>
    <s v="No"/>
    <s v="Travel_Rarely"/>
    <x v="1"/>
    <s v="Current Employees"/>
    <x v="0"/>
    <x v="3"/>
    <s v="STAFF-897"/>
    <n v="897"/>
    <x v="1"/>
    <x v="0"/>
    <x v="1"/>
    <s v="No"/>
    <s v="Y"/>
    <n v="3"/>
    <n v="-2"/>
    <n v="0"/>
    <n v="53"/>
    <n v="0"/>
    <m/>
    <n v="0"/>
    <n v="1"/>
    <n v="868"/>
    <n v="8"/>
    <x v="3"/>
    <n v="1"/>
    <n v="1"/>
    <n v="73"/>
    <n v="3"/>
    <n v="4"/>
    <n v="2"/>
    <n v="11836"/>
    <n v="22789"/>
    <n v="5"/>
    <n v="14"/>
    <n v="3"/>
    <n v="3"/>
    <n v="80"/>
    <n v="1"/>
    <n v="28"/>
    <n v="3"/>
    <n v="2"/>
    <n v="0"/>
    <n v="2"/>
    <n v="2"/>
  </r>
  <r>
    <s v="No"/>
    <s v="Travel_Rarely"/>
    <x v="0"/>
    <s v="Current Employees"/>
    <x v="1"/>
    <x v="4"/>
    <s v="STAFF-899"/>
    <n v="899"/>
    <x v="1"/>
    <x v="3"/>
    <x v="1"/>
    <s v="No"/>
    <s v="Y"/>
    <n v="2"/>
    <n v="-2"/>
    <n v="0"/>
    <n v="35"/>
    <n v="0"/>
    <m/>
    <n v="0"/>
    <n v="1"/>
    <n v="672"/>
    <n v="25"/>
    <x v="3"/>
    <n v="1"/>
    <n v="4"/>
    <n v="78"/>
    <n v="2"/>
    <n v="3"/>
    <n v="4"/>
    <n v="10903"/>
    <n v="9129"/>
    <n v="3"/>
    <n v="16"/>
    <n v="3"/>
    <n v="1"/>
    <n v="80"/>
    <n v="0"/>
    <n v="16"/>
    <n v="3"/>
    <n v="13"/>
    <n v="10"/>
    <n v="4"/>
    <n v="8"/>
  </r>
  <r>
    <s v="No"/>
    <s v="Travel_Frequently"/>
    <x v="0"/>
    <s v="Current Employees"/>
    <x v="0"/>
    <x v="2"/>
    <s v="STAFF-900"/>
    <n v="900"/>
    <x v="0"/>
    <x v="6"/>
    <x v="1"/>
    <s v="No"/>
    <s v="Y"/>
    <n v="3"/>
    <n v="-2"/>
    <n v="0"/>
    <n v="37"/>
    <n v="0"/>
    <m/>
    <n v="0"/>
    <n v="1"/>
    <n v="1231"/>
    <n v="21"/>
    <x v="0"/>
    <n v="1"/>
    <n v="3"/>
    <n v="54"/>
    <n v="3"/>
    <n v="1"/>
    <n v="4"/>
    <n v="2973"/>
    <n v="21222"/>
    <n v="5"/>
    <n v="15"/>
    <n v="3"/>
    <n v="2"/>
    <n v="80"/>
    <n v="1"/>
    <n v="10"/>
    <n v="3"/>
    <n v="5"/>
    <n v="4"/>
    <n v="0"/>
    <n v="0"/>
  </r>
  <r>
    <s v="No"/>
    <s v="Travel_Rarely"/>
    <x v="1"/>
    <s v="Current Employees"/>
    <x v="1"/>
    <x v="0"/>
    <s v="STAFF-901"/>
    <n v="901"/>
    <x v="0"/>
    <x v="7"/>
    <x v="0"/>
    <s v="No"/>
    <s v="Y"/>
    <n v="0"/>
    <n v="-2"/>
    <n v="0"/>
    <n v="53"/>
    <n v="0"/>
    <m/>
    <n v="0"/>
    <n v="1"/>
    <n v="102"/>
    <n v="23"/>
    <x v="2"/>
    <n v="1"/>
    <n v="4"/>
    <n v="72"/>
    <n v="3"/>
    <n v="4"/>
    <n v="1"/>
    <n v="14275"/>
    <n v="20206"/>
    <n v="6"/>
    <n v="18"/>
    <n v="3"/>
    <n v="3"/>
    <n v="80"/>
    <n v="0"/>
    <n v="33"/>
    <n v="3"/>
    <n v="12"/>
    <n v="9"/>
    <n v="3"/>
    <n v="8"/>
  </r>
  <r>
    <s v="No"/>
    <s v="Travel_Frequently"/>
    <x v="0"/>
    <s v="Current Employees"/>
    <x v="1"/>
    <x v="0"/>
    <s v="STAFF-902"/>
    <n v="902"/>
    <x v="0"/>
    <x v="4"/>
    <x v="1"/>
    <s v="No"/>
    <s v="Y"/>
    <n v="2"/>
    <n v="-2"/>
    <n v="0"/>
    <n v="43"/>
    <n v="0"/>
    <m/>
    <n v="0"/>
    <n v="1"/>
    <n v="422"/>
    <n v="1"/>
    <x v="3"/>
    <n v="1"/>
    <n v="4"/>
    <n v="33"/>
    <n v="3"/>
    <n v="2"/>
    <n v="1"/>
    <n v="5562"/>
    <n v="21782"/>
    <n v="4"/>
    <n v="13"/>
    <n v="3"/>
    <n v="2"/>
    <n v="80"/>
    <n v="1"/>
    <n v="12"/>
    <n v="2"/>
    <n v="5"/>
    <n v="2"/>
    <n v="2"/>
    <n v="2"/>
  </r>
  <r>
    <s v="No"/>
    <s v="Travel_Rarely"/>
    <x v="1"/>
    <s v="Current Employees"/>
    <x v="0"/>
    <x v="3"/>
    <s v="STAFF-903"/>
    <n v="903"/>
    <x v="0"/>
    <x v="0"/>
    <x v="1"/>
    <s v="Yes"/>
    <s v="Y"/>
    <n v="2"/>
    <n v="-2"/>
    <n v="0"/>
    <n v="47"/>
    <n v="0"/>
    <m/>
    <n v="0"/>
    <n v="1"/>
    <n v="249"/>
    <n v="2"/>
    <x v="0"/>
    <n v="1"/>
    <n v="3"/>
    <n v="35"/>
    <n v="3"/>
    <n v="2"/>
    <n v="2"/>
    <n v="4537"/>
    <n v="17783"/>
    <n v="0"/>
    <n v="22"/>
    <n v="4"/>
    <n v="1"/>
    <n v="80"/>
    <n v="1"/>
    <n v="8"/>
    <n v="3"/>
    <n v="7"/>
    <n v="6"/>
    <n v="7"/>
    <n v="7"/>
  </r>
  <r>
    <s v="No"/>
    <s v="Non-Travel"/>
    <x v="0"/>
    <s v="Current Employees"/>
    <x v="0"/>
    <x v="2"/>
    <s v="STAFF-904"/>
    <n v="904"/>
    <x v="1"/>
    <x v="0"/>
    <x v="0"/>
    <s v="Yes"/>
    <s v="Y"/>
    <n v="2"/>
    <n v="-2"/>
    <n v="0"/>
    <n v="37"/>
    <n v="0"/>
    <m/>
    <n v="0"/>
    <n v="1"/>
    <n v="1252"/>
    <n v="19"/>
    <x v="0"/>
    <n v="1"/>
    <n v="1"/>
    <n v="32"/>
    <n v="3"/>
    <n v="3"/>
    <n v="3"/>
    <n v="7642"/>
    <n v="4814"/>
    <n v="1"/>
    <n v="13"/>
    <n v="3"/>
    <n v="4"/>
    <n v="80"/>
    <n v="0"/>
    <n v="10"/>
    <n v="3"/>
    <n v="10"/>
    <n v="0"/>
    <n v="0"/>
    <n v="9"/>
  </r>
  <r>
    <s v="No"/>
    <s v="Non-Travel"/>
    <x v="1"/>
    <s v="Current Employees"/>
    <x v="1"/>
    <x v="0"/>
    <s v="STAFF-905"/>
    <n v="905"/>
    <x v="1"/>
    <x v="5"/>
    <x v="2"/>
    <s v="No"/>
    <s v="Y"/>
    <n v="3"/>
    <n v="-2"/>
    <n v="0"/>
    <n v="50"/>
    <n v="0"/>
    <m/>
    <n v="0"/>
    <n v="1"/>
    <n v="881"/>
    <n v="2"/>
    <x v="2"/>
    <n v="1"/>
    <n v="1"/>
    <n v="98"/>
    <n v="3"/>
    <n v="4"/>
    <n v="1"/>
    <n v="17924"/>
    <n v="4544"/>
    <n v="1"/>
    <n v="11"/>
    <n v="3"/>
    <n v="4"/>
    <n v="80"/>
    <n v="1"/>
    <n v="31"/>
    <n v="3"/>
    <n v="31"/>
    <n v="6"/>
    <n v="14"/>
    <n v="7"/>
  </r>
  <r>
    <s v="No"/>
    <s v="Travel_Rarely"/>
    <x v="0"/>
    <s v="Current Employees"/>
    <x v="2"/>
    <x v="0"/>
    <s v="STAFF-909"/>
    <n v="909"/>
    <x v="0"/>
    <x v="8"/>
    <x v="1"/>
    <s v="No"/>
    <s v="Y"/>
    <n v="2"/>
    <n v="-2"/>
    <n v="0"/>
    <n v="39"/>
    <n v="0"/>
    <m/>
    <n v="0"/>
    <n v="1"/>
    <n v="1383"/>
    <n v="2"/>
    <x v="3"/>
    <n v="1"/>
    <n v="4"/>
    <n v="42"/>
    <n v="2"/>
    <n v="2"/>
    <n v="1"/>
    <n v="5204"/>
    <n v="7790"/>
    <n v="8"/>
    <n v="11"/>
    <n v="3"/>
    <n v="3"/>
    <n v="80"/>
    <n v="2"/>
    <n v="13"/>
    <n v="3"/>
    <n v="5"/>
    <n v="4"/>
    <n v="0"/>
    <n v="4"/>
  </r>
  <r>
    <s v="No"/>
    <s v="Travel_Rarely"/>
    <x v="2"/>
    <s v="Current Employees"/>
    <x v="2"/>
    <x v="5"/>
    <s v="STAFF-910"/>
    <n v="910"/>
    <x v="1"/>
    <x v="8"/>
    <x v="2"/>
    <s v="Yes"/>
    <s v="Y"/>
    <n v="4"/>
    <n v="-2"/>
    <n v="0"/>
    <n v="33"/>
    <n v="0"/>
    <m/>
    <n v="0"/>
    <n v="1"/>
    <n v="1075"/>
    <n v="3"/>
    <x v="0"/>
    <n v="1"/>
    <n v="4"/>
    <n v="57"/>
    <n v="3"/>
    <n v="1"/>
    <n v="3"/>
    <n v="2277"/>
    <n v="22650"/>
    <n v="3"/>
    <n v="11"/>
    <n v="3"/>
    <n v="3"/>
    <n v="80"/>
    <n v="1"/>
    <n v="7"/>
    <n v="4"/>
    <n v="4"/>
    <n v="3"/>
    <n v="0"/>
    <n v="3"/>
  </r>
  <r>
    <s v="Yes"/>
    <s v="Travel_Rarely"/>
    <x v="2"/>
    <s v="Ex-Employees"/>
    <x v="1"/>
    <x v="0"/>
    <s v="STAFF-911"/>
    <n v="911"/>
    <x v="1"/>
    <x v="2"/>
    <x v="0"/>
    <s v="Yes"/>
    <s v="Y"/>
    <n v="2"/>
    <n v="-2"/>
    <n v="0"/>
    <n v="32"/>
    <n v="1"/>
    <n v="1"/>
    <n v="1"/>
    <n v="0"/>
    <n v="374"/>
    <n v="25"/>
    <x v="2"/>
    <n v="1"/>
    <n v="1"/>
    <n v="87"/>
    <n v="3"/>
    <n v="1"/>
    <n v="1"/>
    <n v="2795"/>
    <n v="18016"/>
    <n v="1"/>
    <n v="24"/>
    <n v="4"/>
    <n v="3"/>
    <n v="80"/>
    <n v="0"/>
    <n v="1"/>
    <n v="1"/>
    <n v="1"/>
    <n v="0"/>
    <n v="0"/>
    <n v="1"/>
  </r>
  <r>
    <s v="No"/>
    <s v="Travel_Rarely"/>
    <x v="2"/>
    <s v="Current Employees"/>
    <x v="1"/>
    <x v="2"/>
    <s v="STAFF-912"/>
    <n v="912"/>
    <x v="0"/>
    <x v="2"/>
    <x v="2"/>
    <s v="No"/>
    <s v="Y"/>
    <n v="5"/>
    <n v="-2"/>
    <n v="0"/>
    <n v="29"/>
    <n v="0"/>
    <m/>
    <n v="0"/>
    <n v="1"/>
    <n v="1086"/>
    <n v="7"/>
    <x v="1"/>
    <n v="1"/>
    <n v="1"/>
    <n v="62"/>
    <n v="2"/>
    <n v="1"/>
    <n v="4"/>
    <n v="2532"/>
    <n v="6054"/>
    <n v="6"/>
    <n v="14"/>
    <n v="3"/>
    <n v="3"/>
    <n v="80"/>
    <n v="3"/>
    <n v="8"/>
    <n v="3"/>
    <n v="4"/>
    <n v="3"/>
    <n v="0"/>
    <n v="3"/>
  </r>
  <r>
    <s v="No"/>
    <s v="Travel_Rarely"/>
    <x v="0"/>
    <s v="Current Employees"/>
    <x v="1"/>
    <x v="0"/>
    <s v="STAFF-913"/>
    <n v="913"/>
    <x v="1"/>
    <x v="1"/>
    <x v="1"/>
    <s v="Yes"/>
    <s v="Y"/>
    <n v="0"/>
    <n v="-2"/>
    <n v="0"/>
    <n v="44"/>
    <n v="0"/>
    <m/>
    <n v="0"/>
    <n v="1"/>
    <n v="661"/>
    <n v="9"/>
    <x v="0"/>
    <n v="1"/>
    <n v="2"/>
    <n v="61"/>
    <n v="3"/>
    <n v="1"/>
    <n v="1"/>
    <n v="2559"/>
    <n v="7508"/>
    <n v="1"/>
    <n v="13"/>
    <n v="3"/>
    <n v="4"/>
    <n v="80"/>
    <n v="0"/>
    <n v="8"/>
    <n v="3"/>
    <n v="8"/>
    <n v="7"/>
    <n v="7"/>
    <n v="1"/>
  </r>
  <r>
    <s v="No"/>
    <s v="Travel_Rarely"/>
    <x v="2"/>
    <s v="Current Employees"/>
    <x v="0"/>
    <x v="2"/>
    <s v="STAFF-916"/>
    <n v="916"/>
    <x v="1"/>
    <x v="0"/>
    <x v="0"/>
    <s v="No"/>
    <s v="Y"/>
    <n v="3"/>
    <n v="-2"/>
    <n v="0"/>
    <n v="28"/>
    <n v="0"/>
    <m/>
    <n v="0"/>
    <n v="1"/>
    <n v="821"/>
    <n v="5"/>
    <x v="2"/>
    <n v="1"/>
    <n v="1"/>
    <n v="98"/>
    <n v="3"/>
    <n v="2"/>
    <n v="4"/>
    <n v="4908"/>
    <n v="24252"/>
    <n v="1"/>
    <n v="14"/>
    <n v="3"/>
    <n v="2"/>
    <n v="80"/>
    <n v="0"/>
    <n v="4"/>
    <n v="3"/>
    <n v="4"/>
    <n v="2"/>
    <n v="0"/>
    <n v="2"/>
  </r>
  <r>
    <s v="Yes"/>
    <s v="Travel_Frequently"/>
    <x v="3"/>
    <s v="Ex-Employees"/>
    <x v="1"/>
    <x v="0"/>
    <s v="STAFF-918"/>
    <n v="918"/>
    <x v="1"/>
    <x v="2"/>
    <x v="2"/>
    <s v="Yes"/>
    <s v="Y"/>
    <n v="3"/>
    <n v="-2"/>
    <n v="0"/>
    <n v="58"/>
    <n v="1"/>
    <n v="1"/>
    <n v="1"/>
    <n v="0"/>
    <n v="781"/>
    <n v="2"/>
    <x v="1"/>
    <n v="1"/>
    <n v="4"/>
    <n v="57"/>
    <n v="2"/>
    <n v="1"/>
    <n v="1"/>
    <n v="2380"/>
    <n v="13384"/>
    <n v="9"/>
    <n v="14"/>
    <n v="3"/>
    <n v="4"/>
    <n v="80"/>
    <n v="1"/>
    <n v="3"/>
    <n v="2"/>
    <n v="1"/>
    <n v="0"/>
    <n v="0"/>
    <n v="0"/>
  </r>
  <r>
    <s v="No"/>
    <s v="Travel_Rarely"/>
    <x v="0"/>
    <s v="Current Employees"/>
    <x v="1"/>
    <x v="0"/>
    <s v="STAFF-920"/>
    <n v="920"/>
    <x v="0"/>
    <x v="3"/>
    <x v="2"/>
    <s v="No"/>
    <s v="Y"/>
    <n v="2"/>
    <n v="-2"/>
    <n v="0"/>
    <n v="43"/>
    <n v="0"/>
    <m/>
    <n v="0"/>
    <n v="1"/>
    <n v="177"/>
    <n v="8"/>
    <x v="3"/>
    <n v="1"/>
    <n v="1"/>
    <n v="55"/>
    <n v="3"/>
    <n v="2"/>
    <n v="1"/>
    <n v="4765"/>
    <n v="23814"/>
    <n v="4"/>
    <n v="21"/>
    <n v="4"/>
    <n v="3"/>
    <n v="80"/>
    <n v="1"/>
    <n v="4"/>
    <n v="4"/>
    <n v="1"/>
    <n v="0"/>
    <n v="0"/>
    <n v="0"/>
  </r>
  <r>
    <s v="Yes"/>
    <s v="Travel_Rarely"/>
    <x v="4"/>
    <s v="Ex-Employees"/>
    <x v="0"/>
    <x v="2"/>
    <s v="STAFF-922"/>
    <n v="922"/>
    <x v="0"/>
    <x v="6"/>
    <x v="0"/>
    <s v="No"/>
    <s v="Y"/>
    <n v="3"/>
    <n v="-2"/>
    <n v="0"/>
    <n v="20"/>
    <n v="1"/>
    <n v="1"/>
    <n v="1"/>
    <n v="0"/>
    <n v="500"/>
    <n v="2"/>
    <x v="3"/>
    <n v="1"/>
    <n v="3"/>
    <n v="49"/>
    <n v="2"/>
    <n v="1"/>
    <n v="3"/>
    <n v="2044"/>
    <n v="22052"/>
    <n v="1"/>
    <n v="13"/>
    <n v="3"/>
    <n v="4"/>
    <n v="80"/>
    <n v="0"/>
    <n v="2"/>
    <n v="2"/>
    <n v="2"/>
    <n v="2"/>
    <n v="0"/>
    <n v="2"/>
  </r>
  <r>
    <s v="Yes"/>
    <s v="Travel_Rarely"/>
    <x v="4"/>
    <s v="Ex-Employees"/>
    <x v="1"/>
    <x v="1"/>
    <s v="STAFF-923"/>
    <n v="923"/>
    <x v="0"/>
    <x v="1"/>
    <x v="0"/>
    <s v="No"/>
    <s v="Y"/>
    <n v="3"/>
    <n v="-2"/>
    <n v="0"/>
    <n v="21"/>
    <n v="1"/>
    <n v="1"/>
    <n v="1"/>
    <n v="0"/>
    <n v="1427"/>
    <n v="18"/>
    <x v="1"/>
    <n v="1"/>
    <n v="4"/>
    <n v="65"/>
    <n v="3"/>
    <n v="1"/>
    <n v="4"/>
    <n v="2693"/>
    <n v="8870"/>
    <n v="1"/>
    <n v="19"/>
    <n v="3"/>
    <n v="1"/>
    <n v="80"/>
    <n v="0"/>
    <n v="1"/>
    <n v="2"/>
    <n v="1"/>
    <n v="0"/>
    <n v="0"/>
    <n v="0"/>
  </r>
  <r>
    <s v="No"/>
    <s v="Travel_Rarely"/>
    <x v="0"/>
    <s v="Current Employees"/>
    <x v="1"/>
    <x v="0"/>
    <s v="STAFF-924"/>
    <n v="924"/>
    <x v="1"/>
    <x v="4"/>
    <x v="1"/>
    <s v="Yes"/>
    <s v="Y"/>
    <n v="2"/>
    <n v="-2"/>
    <n v="0"/>
    <n v="36"/>
    <n v="0"/>
    <m/>
    <n v="0"/>
    <n v="1"/>
    <n v="1425"/>
    <n v="14"/>
    <x v="1"/>
    <n v="1"/>
    <n v="3"/>
    <n v="68"/>
    <n v="3"/>
    <n v="2"/>
    <n v="1"/>
    <n v="6586"/>
    <n v="4821"/>
    <n v="0"/>
    <n v="17"/>
    <n v="3"/>
    <n v="1"/>
    <n v="80"/>
    <n v="1"/>
    <n v="17"/>
    <n v="2"/>
    <n v="16"/>
    <n v="8"/>
    <n v="4"/>
    <n v="11"/>
  </r>
  <r>
    <s v="No"/>
    <s v="Travel_Rarely"/>
    <x v="1"/>
    <s v="Current Employees"/>
    <x v="0"/>
    <x v="0"/>
    <s v="STAFF-925"/>
    <n v="925"/>
    <x v="0"/>
    <x v="6"/>
    <x v="0"/>
    <s v="Yes"/>
    <s v="Y"/>
    <n v="3"/>
    <n v="-2"/>
    <n v="0"/>
    <n v="47"/>
    <n v="0"/>
    <m/>
    <n v="0"/>
    <n v="1"/>
    <n v="1454"/>
    <n v="2"/>
    <x v="2"/>
    <n v="1"/>
    <n v="4"/>
    <n v="65"/>
    <n v="2"/>
    <n v="1"/>
    <n v="1"/>
    <n v="3294"/>
    <n v="13137"/>
    <n v="1"/>
    <n v="18"/>
    <n v="3"/>
    <n v="1"/>
    <n v="80"/>
    <n v="0"/>
    <n v="3"/>
    <n v="2"/>
    <n v="3"/>
    <n v="2"/>
    <n v="1"/>
    <n v="2"/>
  </r>
  <r>
    <s v="Yes"/>
    <s v="Travel_Rarely"/>
    <x v="4"/>
    <s v="Ex-Employees"/>
    <x v="1"/>
    <x v="0"/>
    <s v="STAFF-926"/>
    <n v="926"/>
    <x v="0"/>
    <x v="3"/>
    <x v="1"/>
    <s v="Yes"/>
    <s v="Y"/>
    <n v="3"/>
    <n v="-2"/>
    <n v="0"/>
    <n v="22"/>
    <n v="1"/>
    <n v="1"/>
    <n v="1"/>
    <n v="0"/>
    <n v="617"/>
    <n v="3"/>
    <x v="1"/>
    <n v="1"/>
    <n v="2"/>
    <n v="34"/>
    <n v="3"/>
    <n v="2"/>
    <n v="1"/>
    <n v="4171"/>
    <n v="10022"/>
    <n v="0"/>
    <n v="19"/>
    <n v="3"/>
    <n v="1"/>
    <n v="80"/>
    <n v="1"/>
    <n v="4"/>
    <n v="4"/>
    <n v="3"/>
    <n v="2"/>
    <n v="0"/>
    <n v="2"/>
  </r>
  <r>
    <s v="Yes"/>
    <s v="Travel_Rarely"/>
    <x v="0"/>
    <s v="Ex-Employees"/>
    <x v="1"/>
    <x v="0"/>
    <s v="STAFF-927"/>
    <n v="927"/>
    <x v="0"/>
    <x v="2"/>
    <x v="2"/>
    <s v="Yes"/>
    <s v="Y"/>
    <n v="1"/>
    <n v="-2"/>
    <n v="0"/>
    <n v="41"/>
    <n v="1"/>
    <n v="1"/>
    <n v="1"/>
    <n v="0"/>
    <n v="1085"/>
    <n v="2"/>
    <x v="2"/>
    <n v="1"/>
    <n v="2"/>
    <n v="57"/>
    <n v="1"/>
    <n v="1"/>
    <n v="1"/>
    <n v="2778"/>
    <n v="17725"/>
    <n v="4"/>
    <n v="13"/>
    <n v="3"/>
    <n v="3"/>
    <n v="80"/>
    <n v="1"/>
    <n v="10"/>
    <n v="2"/>
    <n v="7"/>
    <n v="7"/>
    <n v="1"/>
    <n v="0"/>
  </r>
  <r>
    <s v="No"/>
    <s v="Travel_Rarely"/>
    <x v="2"/>
    <s v="Current Employees"/>
    <x v="1"/>
    <x v="2"/>
    <s v="STAFF-930"/>
    <n v="930"/>
    <x v="0"/>
    <x v="1"/>
    <x v="2"/>
    <s v="No"/>
    <s v="Y"/>
    <n v="2"/>
    <n v="-2"/>
    <n v="0"/>
    <n v="28"/>
    <n v="0"/>
    <m/>
    <n v="0"/>
    <n v="1"/>
    <n v="995"/>
    <n v="9"/>
    <x v="3"/>
    <n v="1"/>
    <n v="3"/>
    <n v="77"/>
    <n v="3"/>
    <n v="1"/>
    <n v="3"/>
    <n v="2377"/>
    <n v="9834"/>
    <n v="5"/>
    <n v="18"/>
    <n v="3"/>
    <n v="2"/>
    <n v="80"/>
    <n v="1"/>
    <n v="6"/>
    <n v="3"/>
    <n v="2"/>
    <n v="2"/>
    <n v="2"/>
    <n v="2"/>
  </r>
  <r>
    <s v="Yes"/>
    <s v="Travel_Rarely"/>
    <x v="0"/>
    <s v="Ex-Employees"/>
    <x v="1"/>
    <x v="2"/>
    <s v="STAFF-932"/>
    <n v="932"/>
    <x v="1"/>
    <x v="2"/>
    <x v="1"/>
    <s v="Yes"/>
    <s v="Y"/>
    <n v="2"/>
    <n v="-2"/>
    <n v="0"/>
    <n v="39"/>
    <n v="1"/>
    <n v="1"/>
    <n v="1"/>
    <n v="0"/>
    <n v="1122"/>
    <n v="6"/>
    <x v="3"/>
    <n v="1"/>
    <n v="4"/>
    <n v="70"/>
    <n v="3"/>
    <n v="1"/>
    <n v="3"/>
    <n v="2404"/>
    <n v="4303"/>
    <n v="7"/>
    <n v="21"/>
    <n v="4"/>
    <n v="4"/>
    <n v="80"/>
    <n v="0"/>
    <n v="8"/>
    <n v="1"/>
    <n v="2"/>
    <n v="2"/>
    <n v="2"/>
    <n v="2"/>
  </r>
  <r>
    <s v="No"/>
    <s v="Travel_Rarely"/>
    <x v="2"/>
    <s v="Current Employees"/>
    <x v="1"/>
    <x v="0"/>
    <s v="STAFF-933"/>
    <n v="933"/>
    <x v="0"/>
    <x v="1"/>
    <x v="0"/>
    <s v="No"/>
    <s v="Y"/>
    <n v="2"/>
    <n v="-2"/>
    <n v="0"/>
    <n v="27"/>
    <n v="0"/>
    <m/>
    <n v="0"/>
    <n v="1"/>
    <n v="618"/>
    <n v="4"/>
    <x v="3"/>
    <n v="1"/>
    <n v="2"/>
    <n v="76"/>
    <n v="3"/>
    <n v="1"/>
    <n v="1"/>
    <n v="2318"/>
    <n v="17808"/>
    <n v="1"/>
    <n v="19"/>
    <n v="3"/>
    <n v="3"/>
    <n v="80"/>
    <n v="0"/>
    <n v="1"/>
    <n v="3"/>
    <n v="1"/>
    <n v="1"/>
    <n v="0"/>
    <n v="0"/>
  </r>
  <r>
    <s v="No"/>
    <s v="Travel_Rarely"/>
    <x v="2"/>
    <s v="Current Employees"/>
    <x v="1"/>
    <x v="0"/>
    <s v="STAFF-934"/>
    <n v="934"/>
    <x v="1"/>
    <x v="2"/>
    <x v="2"/>
    <s v="No"/>
    <s v="Y"/>
    <n v="3"/>
    <n v="-2"/>
    <n v="0"/>
    <n v="34"/>
    <n v="0"/>
    <m/>
    <n v="0"/>
    <n v="1"/>
    <n v="546"/>
    <n v="10"/>
    <x v="3"/>
    <n v="1"/>
    <n v="2"/>
    <n v="83"/>
    <n v="3"/>
    <n v="1"/>
    <n v="1"/>
    <n v="2008"/>
    <n v="6896"/>
    <n v="1"/>
    <n v="14"/>
    <n v="3"/>
    <n v="2"/>
    <n v="80"/>
    <n v="2"/>
    <n v="1"/>
    <n v="3"/>
    <n v="1"/>
    <n v="0"/>
    <n v="1"/>
    <n v="0"/>
  </r>
  <r>
    <s v="No"/>
    <s v="Travel_Rarely"/>
    <x v="0"/>
    <s v="Current Employees"/>
    <x v="0"/>
    <x v="2"/>
    <s v="STAFF-936"/>
    <n v="936"/>
    <x v="0"/>
    <x v="0"/>
    <x v="0"/>
    <s v="No"/>
    <s v="Y"/>
    <n v="6"/>
    <n v="-2"/>
    <n v="0"/>
    <n v="42"/>
    <n v="0"/>
    <m/>
    <n v="0"/>
    <n v="1"/>
    <n v="462"/>
    <n v="14"/>
    <x v="0"/>
    <n v="1"/>
    <n v="3"/>
    <n v="68"/>
    <n v="2"/>
    <n v="2"/>
    <n v="3"/>
    <n v="6244"/>
    <n v="7824"/>
    <n v="7"/>
    <n v="17"/>
    <n v="3"/>
    <n v="1"/>
    <n v="80"/>
    <n v="0"/>
    <n v="10"/>
    <n v="3"/>
    <n v="5"/>
    <n v="4"/>
    <n v="0"/>
    <n v="3"/>
  </r>
  <r>
    <s v="No"/>
    <s v="Travel_Rarely"/>
    <x v="2"/>
    <s v="Current Employees"/>
    <x v="1"/>
    <x v="1"/>
    <s v="STAFF-939"/>
    <n v="939"/>
    <x v="1"/>
    <x v="1"/>
    <x v="0"/>
    <s v="Yes"/>
    <s v="Y"/>
    <n v="1"/>
    <n v="-2"/>
    <n v="0"/>
    <n v="33"/>
    <n v="0"/>
    <m/>
    <n v="0"/>
    <n v="1"/>
    <n v="1198"/>
    <n v="1"/>
    <x v="2"/>
    <n v="1"/>
    <n v="3"/>
    <n v="100"/>
    <n v="2"/>
    <n v="1"/>
    <n v="3"/>
    <n v="2799"/>
    <n v="3339"/>
    <n v="3"/>
    <n v="11"/>
    <n v="3"/>
    <n v="2"/>
    <n v="80"/>
    <n v="0"/>
    <n v="6"/>
    <n v="3"/>
    <n v="3"/>
    <n v="2"/>
    <n v="0"/>
    <n v="2"/>
  </r>
  <r>
    <s v="No"/>
    <s v="Travel_Rarely"/>
    <x v="3"/>
    <s v="Current Employees"/>
    <x v="1"/>
    <x v="4"/>
    <s v="STAFF-940"/>
    <n v="940"/>
    <x v="0"/>
    <x v="4"/>
    <x v="2"/>
    <s v="Yes"/>
    <s v="Y"/>
    <n v="3"/>
    <n v="-2"/>
    <n v="0"/>
    <n v="58"/>
    <n v="0"/>
    <m/>
    <n v="0"/>
    <n v="1"/>
    <n v="1272"/>
    <n v="5"/>
    <x v="3"/>
    <n v="1"/>
    <n v="4"/>
    <n v="37"/>
    <n v="2"/>
    <n v="3"/>
    <n v="4"/>
    <n v="10552"/>
    <n v="9255"/>
    <n v="2"/>
    <n v="13"/>
    <n v="3"/>
    <n v="4"/>
    <n v="80"/>
    <n v="1"/>
    <n v="24"/>
    <n v="3"/>
    <n v="6"/>
    <n v="0"/>
    <n v="0"/>
    <n v="4"/>
  </r>
  <r>
    <s v="No"/>
    <s v="Travel_Rarely"/>
    <x v="2"/>
    <s v="Current Employees"/>
    <x v="0"/>
    <x v="0"/>
    <s v="STAFF-941"/>
    <n v="941"/>
    <x v="1"/>
    <x v="6"/>
    <x v="1"/>
    <s v="No"/>
    <s v="Y"/>
    <n v="2"/>
    <n v="-2"/>
    <n v="0"/>
    <n v="31"/>
    <n v="0"/>
    <m/>
    <n v="0"/>
    <n v="1"/>
    <n v="154"/>
    <n v="7"/>
    <x v="2"/>
    <n v="1"/>
    <n v="2"/>
    <n v="41"/>
    <n v="2"/>
    <n v="1"/>
    <n v="1"/>
    <n v="2329"/>
    <n v="11737"/>
    <n v="3"/>
    <n v="15"/>
    <n v="3"/>
    <n v="2"/>
    <n v="80"/>
    <n v="0"/>
    <n v="13"/>
    <n v="4"/>
    <n v="7"/>
    <n v="7"/>
    <n v="5"/>
    <n v="2"/>
  </r>
  <r>
    <s v="No"/>
    <s v="Travel_Rarely"/>
    <x v="0"/>
    <s v="Current Employees"/>
    <x v="1"/>
    <x v="0"/>
    <s v="STAFF-942"/>
    <n v="942"/>
    <x v="0"/>
    <x v="4"/>
    <x v="1"/>
    <s v="Yes"/>
    <s v="Y"/>
    <n v="2"/>
    <n v="-2"/>
    <n v="0"/>
    <n v="35"/>
    <n v="0"/>
    <m/>
    <n v="0"/>
    <n v="1"/>
    <n v="1137"/>
    <n v="21"/>
    <x v="1"/>
    <n v="1"/>
    <n v="4"/>
    <n v="51"/>
    <n v="3"/>
    <n v="2"/>
    <n v="1"/>
    <n v="4014"/>
    <n v="19170"/>
    <n v="1"/>
    <n v="25"/>
    <n v="4"/>
    <n v="4"/>
    <n v="80"/>
    <n v="1"/>
    <n v="10"/>
    <n v="1"/>
    <n v="10"/>
    <n v="6"/>
    <n v="0"/>
    <n v="7"/>
  </r>
  <r>
    <s v="No"/>
    <s v="Travel_Rarely"/>
    <x v="1"/>
    <s v="Current Employees"/>
    <x v="1"/>
    <x v="1"/>
    <s v="STAFF-944"/>
    <n v="944"/>
    <x v="0"/>
    <x v="2"/>
    <x v="1"/>
    <s v="No"/>
    <s v="Y"/>
    <n v="3"/>
    <n v="-2"/>
    <n v="0"/>
    <n v="49"/>
    <n v="0"/>
    <m/>
    <n v="0"/>
    <n v="1"/>
    <n v="527"/>
    <n v="8"/>
    <x v="0"/>
    <n v="1"/>
    <n v="1"/>
    <n v="51"/>
    <n v="3"/>
    <n v="3"/>
    <n v="3"/>
    <n v="7403"/>
    <n v="22477"/>
    <n v="4"/>
    <n v="11"/>
    <n v="3"/>
    <n v="3"/>
    <n v="80"/>
    <n v="1"/>
    <n v="29"/>
    <n v="2"/>
    <n v="26"/>
    <n v="9"/>
    <n v="1"/>
    <n v="7"/>
  </r>
  <r>
    <s v="No"/>
    <s v="Travel_Rarely"/>
    <x v="1"/>
    <s v="Current Employees"/>
    <x v="1"/>
    <x v="2"/>
    <s v="STAFF-945"/>
    <n v="945"/>
    <x v="1"/>
    <x v="1"/>
    <x v="1"/>
    <s v="No"/>
    <s v="Y"/>
    <n v="2"/>
    <n v="-2"/>
    <n v="0"/>
    <n v="48"/>
    <n v="0"/>
    <m/>
    <n v="0"/>
    <n v="1"/>
    <n v="1469"/>
    <n v="20"/>
    <x v="2"/>
    <n v="1"/>
    <n v="4"/>
    <n v="51"/>
    <n v="3"/>
    <n v="1"/>
    <n v="3"/>
    <n v="2259"/>
    <n v="5543"/>
    <n v="4"/>
    <n v="17"/>
    <n v="3"/>
    <n v="1"/>
    <n v="80"/>
    <n v="2"/>
    <n v="13"/>
    <n v="2"/>
    <n v="0"/>
    <n v="0"/>
    <n v="0"/>
    <n v="0"/>
  </r>
  <r>
    <s v="No"/>
    <s v="Non-Travel"/>
    <x v="2"/>
    <s v="Current Employees"/>
    <x v="0"/>
    <x v="3"/>
    <s v="STAFF-947"/>
    <n v="947"/>
    <x v="0"/>
    <x v="0"/>
    <x v="1"/>
    <s v="No"/>
    <s v="Y"/>
    <n v="2"/>
    <n v="-2"/>
    <n v="0"/>
    <n v="31"/>
    <n v="0"/>
    <m/>
    <n v="0"/>
    <n v="1"/>
    <n v="1188"/>
    <n v="20"/>
    <x v="0"/>
    <n v="1"/>
    <n v="4"/>
    <n v="45"/>
    <n v="3"/>
    <n v="2"/>
    <n v="2"/>
    <n v="6932"/>
    <n v="24406"/>
    <n v="1"/>
    <n v="13"/>
    <n v="3"/>
    <n v="4"/>
    <n v="80"/>
    <n v="1"/>
    <n v="9"/>
    <n v="2"/>
    <n v="9"/>
    <n v="8"/>
    <n v="0"/>
    <n v="0"/>
  </r>
  <r>
    <s v="No"/>
    <s v="Travel_Rarely"/>
    <x v="0"/>
    <s v="Current Employees"/>
    <x v="1"/>
    <x v="1"/>
    <s v="STAFF-949"/>
    <n v="949"/>
    <x v="1"/>
    <x v="1"/>
    <x v="0"/>
    <s v="No"/>
    <s v="Y"/>
    <n v="6"/>
    <n v="-2"/>
    <n v="0"/>
    <n v="36"/>
    <n v="0"/>
    <m/>
    <n v="0"/>
    <n v="1"/>
    <n v="188"/>
    <n v="7"/>
    <x v="2"/>
    <n v="1"/>
    <n v="2"/>
    <n v="65"/>
    <n v="3"/>
    <n v="1"/>
    <n v="4"/>
    <n v="4678"/>
    <n v="23293"/>
    <n v="2"/>
    <n v="18"/>
    <n v="3"/>
    <n v="3"/>
    <n v="80"/>
    <n v="0"/>
    <n v="8"/>
    <n v="3"/>
    <n v="6"/>
    <n v="2"/>
    <n v="0"/>
    <n v="1"/>
  </r>
  <r>
    <s v="No"/>
    <s v="Travel_Rarely"/>
    <x v="0"/>
    <s v="Current Employees"/>
    <x v="1"/>
    <x v="4"/>
    <s v="STAFF-950"/>
    <n v="950"/>
    <x v="0"/>
    <x v="7"/>
    <x v="1"/>
    <s v="No"/>
    <s v="Y"/>
    <n v="3"/>
    <n v="-2"/>
    <n v="0"/>
    <n v="38"/>
    <n v="0"/>
    <m/>
    <n v="0"/>
    <n v="1"/>
    <n v="1333"/>
    <n v="1"/>
    <x v="3"/>
    <n v="1"/>
    <n v="4"/>
    <n v="80"/>
    <n v="3"/>
    <n v="3"/>
    <n v="4"/>
    <n v="13582"/>
    <n v="16292"/>
    <n v="1"/>
    <n v="13"/>
    <n v="3"/>
    <n v="2"/>
    <n v="80"/>
    <n v="1"/>
    <n v="15"/>
    <n v="3"/>
    <n v="15"/>
    <n v="12"/>
    <n v="5"/>
    <n v="11"/>
  </r>
  <r>
    <s v="No"/>
    <s v="Non-Travel"/>
    <x v="2"/>
    <s v="Current Employees"/>
    <x v="1"/>
    <x v="0"/>
    <s v="STAFF-951"/>
    <n v="951"/>
    <x v="0"/>
    <x v="2"/>
    <x v="1"/>
    <s v="No"/>
    <s v="Y"/>
    <n v="3"/>
    <n v="-2"/>
    <n v="0"/>
    <n v="32"/>
    <n v="0"/>
    <m/>
    <n v="0"/>
    <n v="1"/>
    <n v="1184"/>
    <n v="1"/>
    <x v="3"/>
    <n v="1"/>
    <n v="3"/>
    <n v="70"/>
    <n v="2"/>
    <n v="1"/>
    <n v="1"/>
    <n v="2332"/>
    <n v="3974"/>
    <n v="6"/>
    <n v="20"/>
    <n v="4"/>
    <n v="3"/>
    <n v="80"/>
    <n v="0"/>
    <n v="5"/>
    <n v="3"/>
    <n v="3"/>
    <n v="0"/>
    <n v="0"/>
    <n v="2"/>
  </r>
  <r>
    <s v="Yes"/>
    <s v="Travel_Rarely"/>
    <x v="2"/>
    <s v="Ex-Employees"/>
    <x v="0"/>
    <x v="3"/>
    <s v="STAFF-952"/>
    <n v="952"/>
    <x v="1"/>
    <x v="6"/>
    <x v="1"/>
    <s v="Yes"/>
    <s v="Y"/>
    <n v="2"/>
    <n v="-2"/>
    <n v="0"/>
    <n v="25"/>
    <n v="1"/>
    <n v="1"/>
    <n v="1"/>
    <n v="0"/>
    <n v="867"/>
    <n v="19"/>
    <x v="0"/>
    <n v="1"/>
    <n v="3"/>
    <n v="36"/>
    <n v="2"/>
    <n v="1"/>
    <n v="2"/>
    <n v="2413"/>
    <n v="18798"/>
    <n v="1"/>
    <n v="18"/>
    <n v="3"/>
    <n v="3"/>
    <n v="80"/>
    <n v="3"/>
    <n v="1"/>
    <n v="3"/>
    <n v="1"/>
    <n v="0"/>
    <n v="0"/>
    <n v="0"/>
  </r>
  <r>
    <s v="No"/>
    <s v="Travel_Rarely"/>
    <x v="0"/>
    <s v="Current Employees"/>
    <x v="0"/>
    <x v="3"/>
    <s v="STAFF-954"/>
    <n v="954"/>
    <x v="1"/>
    <x v="0"/>
    <x v="2"/>
    <s v="No"/>
    <s v="Y"/>
    <n v="2"/>
    <n v="-2"/>
    <n v="0"/>
    <n v="40"/>
    <n v="0"/>
    <m/>
    <n v="0"/>
    <n v="1"/>
    <n v="658"/>
    <n v="10"/>
    <x v="2"/>
    <n v="1"/>
    <n v="1"/>
    <n v="67"/>
    <n v="2"/>
    <n v="3"/>
    <n v="2"/>
    <n v="9705"/>
    <n v="20652"/>
    <n v="2"/>
    <n v="12"/>
    <n v="3"/>
    <n v="2"/>
    <n v="80"/>
    <n v="1"/>
    <n v="11"/>
    <n v="2"/>
    <n v="1"/>
    <n v="0"/>
    <n v="0"/>
    <n v="0"/>
  </r>
  <r>
    <s v="No"/>
    <s v="Travel_Frequently"/>
    <x v="2"/>
    <s v="Current Employees"/>
    <x v="0"/>
    <x v="2"/>
    <s v="STAFF-956"/>
    <n v="956"/>
    <x v="1"/>
    <x v="0"/>
    <x v="0"/>
    <s v="No"/>
    <s v="Y"/>
    <n v="2"/>
    <n v="-2"/>
    <n v="0"/>
    <n v="26"/>
    <n v="0"/>
    <m/>
    <n v="0"/>
    <n v="1"/>
    <n v="1283"/>
    <n v="1"/>
    <x v="3"/>
    <n v="1"/>
    <n v="3"/>
    <n v="52"/>
    <n v="2"/>
    <n v="2"/>
    <n v="3"/>
    <n v="4294"/>
    <n v="11148"/>
    <n v="1"/>
    <n v="12"/>
    <n v="3"/>
    <n v="2"/>
    <n v="80"/>
    <n v="0"/>
    <n v="7"/>
    <n v="3"/>
    <n v="7"/>
    <n v="7"/>
    <n v="0"/>
    <n v="7"/>
  </r>
  <r>
    <s v="No"/>
    <s v="Travel_Rarely"/>
    <x v="0"/>
    <s v="Current Employees"/>
    <x v="1"/>
    <x v="2"/>
    <s v="STAFF-957"/>
    <n v="957"/>
    <x v="1"/>
    <x v="2"/>
    <x v="0"/>
    <s v="Yes"/>
    <s v="Y"/>
    <n v="3"/>
    <n v="-2"/>
    <n v="0"/>
    <n v="41"/>
    <n v="0"/>
    <m/>
    <n v="0"/>
    <n v="1"/>
    <n v="263"/>
    <n v="6"/>
    <x v="3"/>
    <n v="1"/>
    <n v="4"/>
    <n v="59"/>
    <n v="3"/>
    <n v="1"/>
    <n v="3"/>
    <n v="4721"/>
    <n v="3119"/>
    <n v="2"/>
    <n v="13"/>
    <n v="3"/>
    <n v="3"/>
    <n v="80"/>
    <n v="0"/>
    <n v="20"/>
    <n v="3"/>
    <n v="18"/>
    <n v="13"/>
    <n v="2"/>
    <n v="17"/>
  </r>
  <r>
    <s v="No"/>
    <s v="Travel_Rarely"/>
    <x v="0"/>
    <s v="Current Employees"/>
    <x v="1"/>
    <x v="2"/>
    <s v="STAFF-958"/>
    <n v="958"/>
    <x v="1"/>
    <x v="2"/>
    <x v="0"/>
    <s v="No"/>
    <s v="Y"/>
    <n v="6"/>
    <n v="-2"/>
    <n v="0"/>
    <n v="36"/>
    <n v="0"/>
    <m/>
    <n v="0"/>
    <n v="1"/>
    <n v="938"/>
    <n v="2"/>
    <x v="2"/>
    <n v="1"/>
    <n v="3"/>
    <n v="79"/>
    <n v="3"/>
    <n v="1"/>
    <n v="3"/>
    <n v="2519"/>
    <n v="12287"/>
    <n v="4"/>
    <n v="21"/>
    <n v="4"/>
    <n v="3"/>
    <n v="80"/>
    <n v="0"/>
    <n v="16"/>
    <n v="3"/>
    <n v="11"/>
    <n v="8"/>
    <n v="3"/>
    <n v="9"/>
  </r>
  <r>
    <s v="Yes"/>
    <s v="Travel_Rarely"/>
    <x v="4"/>
    <s v="Ex-Employees"/>
    <x v="0"/>
    <x v="1"/>
    <s v="STAFF-959"/>
    <n v="959"/>
    <x v="1"/>
    <x v="6"/>
    <x v="0"/>
    <s v="Yes"/>
    <s v="Y"/>
    <n v="3"/>
    <n v="-2"/>
    <n v="0"/>
    <n v="19"/>
    <n v="1"/>
    <n v="1"/>
    <n v="1"/>
    <n v="0"/>
    <n v="419"/>
    <n v="21"/>
    <x v="3"/>
    <n v="1"/>
    <n v="4"/>
    <n v="37"/>
    <n v="2"/>
    <n v="1"/>
    <n v="3"/>
    <n v="2121"/>
    <n v="9947"/>
    <n v="1"/>
    <n v="13"/>
    <n v="3"/>
    <n v="2"/>
    <n v="80"/>
    <n v="0"/>
    <n v="1"/>
    <n v="4"/>
    <n v="1"/>
    <n v="0"/>
    <n v="0"/>
    <n v="0"/>
  </r>
  <r>
    <s v="Yes"/>
    <s v="Travel_Rarely"/>
    <x v="4"/>
    <s v="Ex-Employees"/>
    <x v="1"/>
    <x v="4"/>
    <s v="STAFF-960"/>
    <n v="960"/>
    <x v="1"/>
    <x v="2"/>
    <x v="0"/>
    <s v="No"/>
    <s v="Y"/>
    <n v="2"/>
    <n v="-2"/>
    <n v="0"/>
    <n v="20"/>
    <n v="1"/>
    <n v="1"/>
    <n v="1"/>
    <n v="0"/>
    <n v="129"/>
    <n v="4"/>
    <x v="3"/>
    <n v="1"/>
    <n v="4"/>
    <n v="84"/>
    <n v="3"/>
    <n v="1"/>
    <n v="4"/>
    <n v="2973"/>
    <n v="13008"/>
    <n v="1"/>
    <n v="19"/>
    <n v="3"/>
    <n v="2"/>
    <n v="80"/>
    <n v="0"/>
    <n v="1"/>
    <n v="3"/>
    <n v="1"/>
    <n v="0"/>
    <n v="0"/>
    <n v="0"/>
  </r>
  <r>
    <s v="No"/>
    <s v="Travel_Rarely"/>
    <x v="2"/>
    <s v="Current Employees"/>
    <x v="1"/>
    <x v="2"/>
    <s v="STAFF-961"/>
    <n v="961"/>
    <x v="0"/>
    <x v="4"/>
    <x v="1"/>
    <s v="Yes"/>
    <s v="Y"/>
    <n v="2"/>
    <n v="-2"/>
    <n v="0"/>
    <n v="31"/>
    <n v="0"/>
    <m/>
    <n v="0"/>
    <n v="1"/>
    <n v="616"/>
    <n v="12"/>
    <x v="3"/>
    <n v="1"/>
    <n v="4"/>
    <n v="41"/>
    <n v="3"/>
    <n v="2"/>
    <n v="4"/>
    <n v="5855"/>
    <n v="17369"/>
    <n v="0"/>
    <n v="11"/>
    <n v="3"/>
    <n v="3"/>
    <n v="80"/>
    <n v="2"/>
    <n v="10"/>
    <n v="1"/>
    <n v="9"/>
    <n v="7"/>
    <n v="8"/>
    <n v="5"/>
  </r>
  <r>
    <s v="No"/>
    <s v="Travel_Frequently"/>
    <x v="0"/>
    <s v="Current Employees"/>
    <x v="1"/>
    <x v="2"/>
    <s v="STAFF-964"/>
    <n v="964"/>
    <x v="1"/>
    <x v="1"/>
    <x v="2"/>
    <s v="Yes"/>
    <s v="Y"/>
    <n v="2"/>
    <n v="-2"/>
    <n v="0"/>
    <n v="40"/>
    <n v="0"/>
    <m/>
    <n v="0"/>
    <n v="1"/>
    <n v="1469"/>
    <n v="9"/>
    <x v="2"/>
    <n v="1"/>
    <n v="4"/>
    <n v="35"/>
    <n v="3"/>
    <n v="1"/>
    <n v="3"/>
    <n v="3617"/>
    <n v="25063"/>
    <n v="8"/>
    <n v="14"/>
    <n v="3"/>
    <n v="4"/>
    <n v="80"/>
    <n v="1"/>
    <n v="3"/>
    <n v="3"/>
    <n v="1"/>
    <n v="1"/>
    <n v="0"/>
    <n v="0"/>
  </r>
  <r>
    <s v="No"/>
    <s v="Travel_Rarely"/>
    <x v="2"/>
    <s v="Current Employees"/>
    <x v="1"/>
    <x v="2"/>
    <s v="STAFF-966"/>
    <n v="966"/>
    <x v="0"/>
    <x v="3"/>
    <x v="1"/>
    <s v="No"/>
    <s v="Y"/>
    <n v="2"/>
    <n v="-2"/>
    <n v="0"/>
    <n v="32"/>
    <n v="0"/>
    <m/>
    <n v="0"/>
    <n v="1"/>
    <n v="498"/>
    <n v="3"/>
    <x v="2"/>
    <n v="1"/>
    <n v="3"/>
    <n v="93"/>
    <n v="3"/>
    <n v="2"/>
    <n v="3"/>
    <n v="6725"/>
    <n v="13554"/>
    <n v="1"/>
    <n v="12"/>
    <n v="3"/>
    <n v="3"/>
    <n v="80"/>
    <n v="1"/>
    <n v="8"/>
    <n v="4"/>
    <n v="8"/>
    <n v="7"/>
    <n v="6"/>
    <n v="3"/>
  </r>
  <r>
    <s v="Yes"/>
    <s v="Travel_Rarely"/>
    <x v="0"/>
    <s v="Ex-Employees"/>
    <x v="0"/>
    <x v="0"/>
    <s v="STAFF-967"/>
    <n v="967"/>
    <x v="1"/>
    <x v="0"/>
    <x v="1"/>
    <s v="Yes"/>
    <s v="Y"/>
    <n v="6"/>
    <n v="-2"/>
    <n v="0"/>
    <n v="36"/>
    <n v="1"/>
    <n v="1"/>
    <n v="1"/>
    <n v="0"/>
    <n v="530"/>
    <n v="3"/>
    <x v="1"/>
    <n v="1"/>
    <n v="3"/>
    <n v="51"/>
    <n v="2"/>
    <n v="3"/>
    <n v="1"/>
    <n v="10325"/>
    <n v="5518"/>
    <n v="1"/>
    <n v="11"/>
    <n v="3"/>
    <n v="1"/>
    <n v="80"/>
    <n v="1"/>
    <n v="16"/>
    <n v="3"/>
    <n v="16"/>
    <n v="7"/>
    <n v="3"/>
    <n v="7"/>
  </r>
  <r>
    <s v="No"/>
    <s v="Travel_Rarely"/>
    <x v="2"/>
    <s v="Current Employees"/>
    <x v="1"/>
    <x v="0"/>
    <s v="STAFF-969"/>
    <n v="969"/>
    <x v="0"/>
    <x v="4"/>
    <x v="0"/>
    <s v="No"/>
    <s v="Y"/>
    <n v="3"/>
    <n v="-2"/>
    <n v="0"/>
    <n v="33"/>
    <n v="0"/>
    <m/>
    <n v="0"/>
    <n v="1"/>
    <n v="1069"/>
    <n v="1"/>
    <x v="3"/>
    <n v="1"/>
    <n v="2"/>
    <n v="42"/>
    <n v="2"/>
    <n v="2"/>
    <n v="1"/>
    <n v="6949"/>
    <n v="12291"/>
    <n v="0"/>
    <n v="14"/>
    <n v="3"/>
    <n v="1"/>
    <n v="80"/>
    <n v="0"/>
    <n v="6"/>
    <n v="3"/>
    <n v="5"/>
    <n v="0"/>
    <n v="1"/>
    <n v="4"/>
  </r>
  <r>
    <s v="Yes"/>
    <s v="Travel_Rarely"/>
    <x v="0"/>
    <s v="Ex-Employees"/>
    <x v="0"/>
    <x v="0"/>
    <s v="STAFF-970"/>
    <n v="970"/>
    <x v="1"/>
    <x v="0"/>
    <x v="1"/>
    <s v="No"/>
    <s v="Y"/>
    <n v="2"/>
    <n v="-2"/>
    <n v="0"/>
    <n v="37"/>
    <n v="1"/>
    <n v="1"/>
    <n v="1"/>
    <n v="0"/>
    <n v="625"/>
    <n v="1"/>
    <x v="2"/>
    <n v="1"/>
    <n v="1"/>
    <n v="46"/>
    <n v="2"/>
    <n v="3"/>
    <n v="1"/>
    <n v="10609"/>
    <n v="14922"/>
    <n v="5"/>
    <n v="11"/>
    <n v="3"/>
    <n v="3"/>
    <n v="80"/>
    <n v="0"/>
    <n v="17"/>
    <n v="1"/>
    <n v="14"/>
    <n v="1"/>
    <n v="11"/>
    <n v="7"/>
  </r>
  <r>
    <s v="No"/>
    <s v="Non-Travel"/>
    <x v="1"/>
    <s v="Current Employees"/>
    <x v="1"/>
    <x v="0"/>
    <s v="STAFF-972"/>
    <n v="972"/>
    <x v="1"/>
    <x v="2"/>
    <x v="1"/>
    <s v="No"/>
    <s v="Y"/>
    <n v="5"/>
    <n v="-2"/>
    <n v="0"/>
    <n v="45"/>
    <n v="0"/>
    <m/>
    <n v="0"/>
    <n v="1"/>
    <n v="805"/>
    <n v="4"/>
    <x v="0"/>
    <n v="1"/>
    <n v="3"/>
    <n v="57"/>
    <n v="3"/>
    <n v="2"/>
    <n v="1"/>
    <n v="4447"/>
    <n v="23163"/>
    <n v="1"/>
    <n v="12"/>
    <n v="3"/>
    <n v="2"/>
    <n v="80"/>
    <n v="0"/>
    <n v="9"/>
    <n v="2"/>
    <n v="9"/>
    <n v="7"/>
    <n v="0"/>
    <n v="8"/>
  </r>
  <r>
    <s v="No"/>
    <s v="Travel_Frequently"/>
    <x v="2"/>
    <s v="Current Employees"/>
    <x v="0"/>
    <x v="4"/>
    <s v="STAFF-974"/>
    <n v="974"/>
    <x v="0"/>
    <x v="6"/>
    <x v="1"/>
    <s v="No"/>
    <s v="Y"/>
    <n v="5"/>
    <n v="-2"/>
    <n v="0"/>
    <n v="29"/>
    <n v="0"/>
    <m/>
    <n v="0"/>
    <n v="1"/>
    <n v="1404"/>
    <n v="20"/>
    <x v="3"/>
    <n v="1"/>
    <n v="4"/>
    <n v="84"/>
    <n v="3"/>
    <n v="1"/>
    <n v="4"/>
    <n v="2157"/>
    <n v="18203"/>
    <n v="1"/>
    <n v="15"/>
    <n v="3"/>
    <n v="2"/>
    <n v="80"/>
    <n v="1"/>
    <n v="3"/>
    <n v="3"/>
    <n v="3"/>
    <n v="1"/>
    <n v="0"/>
    <n v="2"/>
  </r>
  <r>
    <s v="No"/>
    <s v="Travel_Rarely"/>
    <x v="0"/>
    <s v="Current Employees"/>
    <x v="0"/>
    <x v="2"/>
    <s v="STAFF-975"/>
    <n v="975"/>
    <x v="0"/>
    <x v="0"/>
    <x v="1"/>
    <s v="No"/>
    <s v="Y"/>
    <n v="3"/>
    <n v="-2"/>
    <n v="0"/>
    <n v="35"/>
    <n v="0"/>
    <m/>
    <n v="0"/>
    <n v="1"/>
    <n v="1219"/>
    <n v="18"/>
    <x v="3"/>
    <n v="1"/>
    <n v="3"/>
    <n v="86"/>
    <n v="3"/>
    <n v="2"/>
    <n v="3"/>
    <n v="4601"/>
    <n v="6179"/>
    <n v="1"/>
    <n v="16"/>
    <n v="3"/>
    <n v="2"/>
    <n v="80"/>
    <n v="0"/>
    <n v="5"/>
    <n v="3"/>
    <n v="5"/>
    <n v="2"/>
    <n v="1"/>
    <n v="0"/>
  </r>
  <r>
    <s v="No"/>
    <s v="Travel_Rarely"/>
    <x v="1"/>
    <s v="Current Employees"/>
    <x v="1"/>
    <x v="0"/>
    <s v="STAFF-976"/>
    <n v="976"/>
    <x v="1"/>
    <x v="5"/>
    <x v="1"/>
    <s v="No"/>
    <s v="Y"/>
    <n v="2"/>
    <n v="-2"/>
    <n v="0"/>
    <n v="52"/>
    <n v="0"/>
    <m/>
    <n v="0"/>
    <n v="1"/>
    <n v="1053"/>
    <n v="1"/>
    <x v="0"/>
    <n v="1"/>
    <n v="4"/>
    <n v="70"/>
    <n v="3"/>
    <n v="4"/>
    <n v="1"/>
    <n v="17099"/>
    <n v="13829"/>
    <n v="2"/>
    <n v="15"/>
    <n v="3"/>
    <n v="2"/>
    <n v="80"/>
    <n v="1"/>
    <n v="26"/>
    <n v="2"/>
    <n v="9"/>
    <n v="8"/>
    <n v="7"/>
    <n v="8"/>
  </r>
  <r>
    <s v="Yes"/>
    <s v="Travel_Rarely"/>
    <x v="3"/>
    <s v="Ex-Employees"/>
    <x v="1"/>
    <x v="4"/>
    <s v="STAFF-977"/>
    <n v="977"/>
    <x v="1"/>
    <x v="1"/>
    <x v="0"/>
    <s v="No"/>
    <s v="Y"/>
    <n v="4"/>
    <n v="-2"/>
    <n v="0"/>
    <n v="58"/>
    <n v="1"/>
    <n v="1"/>
    <n v="1"/>
    <n v="0"/>
    <n v="289"/>
    <n v="2"/>
    <x v="3"/>
    <n v="1"/>
    <n v="4"/>
    <n v="51"/>
    <n v="3"/>
    <n v="1"/>
    <n v="4"/>
    <n v="2479"/>
    <n v="26227"/>
    <n v="4"/>
    <n v="24"/>
    <n v="4"/>
    <n v="1"/>
    <n v="80"/>
    <n v="0"/>
    <n v="7"/>
    <n v="3"/>
    <n v="1"/>
    <n v="0"/>
    <n v="0"/>
    <n v="0"/>
  </r>
  <r>
    <s v="No"/>
    <s v="Travel_Rarely"/>
    <x v="1"/>
    <s v="Current Employees"/>
    <x v="0"/>
    <x v="2"/>
    <s v="STAFF-981"/>
    <n v="981"/>
    <x v="1"/>
    <x v="5"/>
    <x v="2"/>
    <s v="No"/>
    <s v="Y"/>
    <n v="3"/>
    <n v="-2"/>
    <n v="0"/>
    <n v="53"/>
    <n v="0"/>
    <m/>
    <n v="0"/>
    <n v="1"/>
    <n v="1376"/>
    <n v="2"/>
    <x v="0"/>
    <n v="1"/>
    <n v="3"/>
    <n v="45"/>
    <n v="3"/>
    <n v="4"/>
    <n v="3"/>
    <n v="14852"/>
    <n v="13938"/>
    <n v="6"/>
    <n v="13"/>
    <n v="3"/>
    <n v="3"/>
    <n v="80"/>
    <n v="1"/>
    <n v="22"/>
    <n v="4"/>
    <n v="17"/>
    <n v="13"/>
    <n v="15"/>
    <n v="2"/>
  </r>
  <r>
    <s v="No"/>
    <s v="Travel_Rarely"/>
    <x v="2"/>
    <s v="Current Employees"/>
    <x v="0"/>
    <x v="1"/>
    <s v="STAFF-982"/>
    <n v="982"/>
    <x v="1"/>
    <x v="0"/>
    <x v="2"/>
    <s v="No"/>
    <s v="Y"/>
    <n v="2"/>
    <n v="-2"/>
    <n v="0"/>
    <n v="30"/>
    <n v="0"/>
    <m/>
    <n v="0"/>
    <n v="1"/>
    <n v="231"/>
    <n v="8"/>
    <x v="0"/>
    <n v="1"/>
    <n v="3"/>
    <n v="62"/>
    <n v="3"/>
    <n v="3"/>
    <n v="3"/>
    <n v="7264"/>
    <n v="9977"/>
    <n v="5"/>
    <n v="11"/>
    <n v="3"/>
    <n v="1"/>
    <n v="80"/>
    <n v="1"/>
    <n v="10"/>
    <n v="4"/>
    <n v="8"/>
    <n v="4"/>
    <n v="7"/>
    <n v="7"/>
  </r>
  <r>
    <s v="No"/>
    <s v="Non-Travel"/>
    <x v="0"/>
    <s v="Current Employees"/>
    <x v="0"/>
    <x v="4"/>
    <s v="STAFF-983"/>
    <n v="983"/>
    <x v="0"/>
    <x v="0"/>
    <x v="0"/>
    <s v="Yes"/>
    <s v="Y"/>
    <n v="1"/>
    <n v="-2"/>
    <n v="0"/>
    <n v="38"/>
    <n v="0"/>
    <m/>
    <n v="0"/>
    <n v="1"/>
    <n v="152"/>
    <n v="10"/>
    <x v="3"/>
    <n v="1"/>
    <n v="4"/>
    <n v="85"/>
    <n v="3"/>
    <n v="2"/>
    <n v="4"/>
    <n v="5666"/>
    <n v="19899"/>
    <n v="1"/>
    <n v="13"/>
    <n v="3"/>
    <n v="2"/>
    <n v="80"/>
    <n v="0"/>
    <n v="6"/>
    <n v="3"/>
    <n v="5"/>
    <n v="3"/>
    <n v="1"/>
    <n v="3"/>
  </r>
  <r>
    <s v="No"/>
    <s v="Travel_Rarely"/>
    <x v="0"/>
    <s v="Current Employees"/>
    <x v="0"/>
    <x v="0"/>
    <s v="STAFF-984"/>
    <n v="984"/>
    <x v="1"/>
    <x v="0"/>
    <x v="2"/>
    <s v="No"/>
    <s v="Y"/>
    <n v="2"/>
    <n v="-2"/>
    <n v="0"/>
    <n v="35"/>
    <n v="0"/>
    <m/>
    <n v="0"/>
    <n v="1"/>
    <n v="882"/>
    <n v="3"/>
    <x v="2"/>
    <n v="1"/>
    <n v="4"/>
    <n v="92"/>
    <n v="3"/>
    <n v="3"/>
    <n v="1"/>
    <n v="7823"/>
    <n v="6812"/>
    <n v="6"/>
    <n v="13"/>
    <n v="3"/>
    <n v="2"/>
    <n v="80"/>
    <n v="1"/>
    <n v="12"/>
    <n v="3"/>
    <n v="10"/>
    <n v="9"/>
    <n v="0"/>
    <n v="8"/>
  </r>
  <r>
    <s v="No"/>
    <s v="Travel_Rarely"/>
    <x v="0"/>
    <s v="Current Employees"/>
    <x v="0"/>
    <x v="0"/>
    <s v="STAFF-985"/>
    <n v="985"/>
    <x v="1"/>
    <x v="0"/>
    <x v="0"/>
    <s v="No"/>
    <s v="Y"/>
    <n v="3"/>
    <n v="-2"/>
    <n v="0"/>
    <n v="39"/>
    <n v="0"/>
    <m/>
    <n v="0"/>
    <n v="1"/>
    <n v="903"/>
    <n v="2"/>
    <x v="4"/>
    <n v="1"/>
    <n v="1"/>
    <n v="41"/>
    <n v="4"/>
    <n v="3"/>
    <n v="1"/>
    <n v="7880"/>
    <n v="2560"/>
    <n v="0"/>
    <n v="18"/>
    <n v="3"/>
    <n v="4"/>
    <n v="80"/>
    <n v="0"/>
    <n v="9"/>
    <n v="3"/>
    <n v="8"/>
    <n v="7"/>
    <n v="0"/>
    <n v="7"/>
  </r>
  <r>
    <s v="Yes"/>
    <s v="Non-Travel"/>
    <x v="0"/>
    <s v="Ex-Employees"/>
    <x v="0"/>
    <x v="0"/>
    <s v="STAFF-986"/>
    <n v="986"/>
    <x v="0"/>
    <x v="0"/>
    <x v="0"/>
    <s v="Yes"/>
    <s v="Y"/>
    <n v="2"/>
    <n v="-2"/>
    <n v="0"/>
    <n v="40"/>
    <n v="1"/>
    <n v="1"/>
    <n v="1"/>
    <n v="0"/>
    <n v="1479"/>
    <n v="24"/>
    <x v="3"/>
    <n v="1"/>
    <n v="2"/>
    <n v="100"/>
    <n v="4"/>
    <n v="4"/>
    <n v="1"/>
    <n v="13194"/>
    <n v="17071"/>
    <n v="4"/>
    <n v="16"/>
    <n v="3"/>
    <n v="4"/>
    <n v="80"/>
    <n v="0"/>
    <n v="22"/>
    <n v="2"/>
    <n v="1"/>
    <n v="0"/>
    <n v="0"/>
    <n v="0"/>
  </r>
  <r>
    <s v="No"/>
    <s v="Travel_Frequently"/>
    <x v="1"/>
    <s v="Current Employees"/>
    <x v="1"/>
    <x v="2"/>
    <s v="STAFF-987"/>
    <n v="987"/>
    <x v="1"/>
    <x v="3"/>
    <x v="2"/>
    <s v="Yes"/>
    <s v="Y"/>
    <n v="3"/>
    <n v="-2"/>
    <n v="0"/>
    <n v="47"/>
    <n v="0"/>
    <m/>
    <n v="0"/>
    <n v="1"/>
    <n v="1379"/>
    <n v="16"/>
    <x v="2"/>
    <n v="1"/>
    <n v="3"/>
    <n v="64"/>
    <n v="4"/>
    <n v="2"/>
    <n v="3"/>
    <n v="5067"/>
    <n v="6759"/>
    <n v="1"/>
    <n v="19"/>
    <n v="3"/>
    <n v="3"/>
    <n v="80"/>
    <n v="0"/>
    <n v="20"/>
    <n v="4"/>
    <n v="19"/>
    <n v="10"/>
    <n v="2"/>
    <n v="7"/>
  </r>
  <r>
    <s v="No"/>
    <s v="Non-Travel"/>
    <x v="0"/>
    <s v="Current Employees"/>
    <x v="0"/>
    <x v="4"/>
    <s v="STAFF-990"/>
    <n v="990"/>
    <x v="1"/>
    <x v="0"/>
    <x v="2"/>
    <s v="No"/>
    <s v="Y"/>
    <n v="3"/>
    <n v="-2"/>
    <n v="0"/>
    <n v="36"/>
    <n v="0"/>
    <m/>
    <n v="0"/>
    <n v="1"/>
    <n v="1229"/>
    <n v="8"/>
    <x v="2"/>
    <n v="1"/>
    <n v="4"/>
    <n v="84"/>
    <n v="3"/>
    <n v="2"/>
    <n v="4"/>
    <n v="5079"/>
    <n v="25952"/>
    <n v="4"/>
    <n v="13"/>
    <n v="3"/>
    <n v="4"/>
    <n v="80"/>
    <n v="2"/>
    <n v="12"/>
    <n v="3"/>
    <n v="7"/>
    <n v="7"/>
    <n v="0"/>
    <n v="7"/>
  </r>
  <r>
    <s v="Yes"/>
    <s v="Non-Travel"/>
    <x v="2"/>
    <s v="Ex-Employees"/>
    <x v="1"/>
    <x v="2"/>
    <s v="STAFF-991"/>
    <n v="991"/>
    <x v="1"/>
    <x v="1"/>
    <x v="0"/>
    <s v="Yes"/>
    <s v="Y"/>
    <n v="0"/>
    <n v="-2"/>
    <n v="0"/>
    <n v="31"/>
    <n v="1"/>
    <n v="1"/>
    <n v="1"/>
    <n v="0"/>
    <n v="335"/>
    <n v="9"/>
    <x v="0"/>
    <n v="1"/>
    <n v="3"/>
    <n v="46"/>
    <n v="2"/>
    <n v="1"/>
    <n v="3"/>
    <n v="2321"/>
    <n v="10322"/>
    <n v="0"/>
    <n v="22"/>
    <n v="4"/>
    <n v="1"/>
    <n v="80"/>
    <n v="0"/>
    <n v="4"/>
    <n v="3"/>
    <n v="3"/>
    <n v="2"/>
    <n v="1"/>
    <n v="2"/>
  </r>
  <r>
    <s v="No"/>
    <s v="Non-Travel"/>
    <x v="2"/>
    <s v="Current Employees"/>
    <x v="0"/>
    <x v="0"/>
    <s v="STAFF-992"/>
    <n v="992"/>
    <x v="1"/>
    <x v="5"/>
    <x v="0"/>
    <s v="No"/>
    <s v="Y"/>
    <n v="2"/>
    <n v="-2"/>
    <n v="0"/>
    <n v="33"/>
    <n v="0"/>
    <m/>
    <n v="0"/>
    <n v="1"/>
    <n v="722"/>
    <n v="17"/>
    <x v="3"/>
    <n v="1"/>
    <n v="4"/>
    <n v="38"/>
    <n v="3"/>
    <n v="4"/>
    <n v="1"/>
    <n v="17444"/>
    <n v="20489"/>
    <n v="1"/>
    <n v="11"/>
    <n v="3"/>
    <n v="4"/>
    <n v="80"/>
    <n v="0"/>
    <n v="10"/>
    <n v="3"/>
    <n v="10"/>
    <n v="8"/>
    <n v="6"/>
    <n v="0"/>
  </r>
  <r>
    <s v="Yes"/>
    <s v="Travel_Rarely"/>
    <x v="2"/>
    <s v="Ex-Employees"/>
    <x v="1"/>
    <x v="0"/>
    <s v="STAFF-994"/>
    <n v="994"/>
    <x v="0"/>
    <x v="1"/>
    <x v="0"/>
    <s v="Yes"/>
    <s v="Y"/>
    <n v="5"/>
    <n v="-2"/>
    <n v="0"/>
    <n v="29"/>
    <n v="1"/>
    <n v="1"/>
    <n v="1"/>
    <n v="0"/>
    <n v="906"/>
    <n v="10"/>
    <x v="3"/>
    <n v="1"/>
    <n v="4"/>
    <n v="92"/>
    <n v="2"/>
    <n v="1"/>
    <n v="1"/>
    <n v="2404"/>
    <n v="11479"/>
    <n v="6"/>
    <n v="20"/>
    <n v="4"/>
    <n v="3"/>
    <n v="80"/>
    <n v="0"/>
    <n v="3"/>
    <n v="3"/>
    <n v="0"/>
    <n v="0"/>
    <n v="0"/>
    <n v="0"/>
  </r>
  <r>
    <s v="No"/>
    <s v="Travel_Rarely"/>
    <x v="2"/>
    <s v="Current Employees"/>
    <x v="1"/>
    <x v="0"/>
    <s v="STAFF-995"/>
    <n v="995"/>
    <x v="0"/>
    <x v="1"/>
    <x v="0"/>
    <s v="No"/>
    <s v="Y"/>
    <n v="4"/>
    <n v="-2"/>
    <n v="0"/>
    <n v="33"/>
    <n v="0"/>
    <m/>
    <n v="0"/>
    <n v="1"/>
    <n v="461"/>
    <n v="13"/>
    <x v="1"/>
    <n v="1"/>
    <n v="2"/>
    <n v="53"/>
    <n v="3"/>
    <n v="1"/>
    <n v="1"/>
    <n v="3452"/>
    <n v="17241"/>
    <n v="3"/>
    <n v="18"/>
    <n v="3"/>
    <n v="1"/>
    <n v="80"/>
    <n v="0"/>
    <n v="5"/>
    <n v="3"/>
    <n v="3"/>
    <n v="2"/>
    <n v="0"/>
    <n v="2"/>
  </r>
  <r>
    <s v="No"/>
    <s v="Travel_Rarely"/>
    <x v="1"/>
    <s v="Current Employees"/>
    <x v="1"/>
    <x v="2"/>
    <s v="STAFF-996"/>
    <n v="996"/>
    <x v="0"/>
    <x v="2"/>
    <x v="2"/>
    <s v="No"/>
    <s v="Y"/>
    <n v="2"/>
    <n v="-2"/>
    <n v="0"/>
    <n v="45"/>
    <n v="0"/>
    <m/>
    <n v="0"/>
    <n v="1"/>
    <n v="974"/>
    <n v="1"/>
    <x v="2"/>
    <n v="1"/>
    <n v="4"/>
    <n v="91"/>
    <n v="3"/>
    <n v="1"/>
    <n v="4"/>
    <n v="2270"/>
    <n v="11005"/>
    <n v="3"/>
    <n v="14"/>
    <n v="3"/>
    <n v="4"/>
    <n v="80"/>
    <n v="2"/>
    <n v="8"/>
    <n v="3"/>
    <n v="5"/>
    <n v="3"/>
    <n v="0"/>
    <n v="2"/>
  </r>
  <r>
    <s v="No"/>
    <s v="Travel_Rarely"/>
    <x v="1"/>
    <s v="Current Employees"/>
    <x v="1"/>
    <x v="2"/>
    <s v="STAFF-997"/>
    <n v="997"/>
    <x v="1"/>
    <x v="7"/>
    <x v="2"/>
    <s v="No"/>
    <s v="Y"/>
    <n v="1"/>
    <n v="-2"/>
    <n v="0"/>
    <n v="50"/>
    <n v="0"/>
    <m/>
    <n v="0"/>
    <n v="1"/>
    <n v="1126"/>
    <n v="1"/>
    <x v="0"/>
    <n v="1"/>
    <n v="4"/>
    <n v="66"/>
    <n v="3"/>
    <n v="4"/>
    <n v="4"/>
    <n v="17399"/>
    <n v="6615"/>
    <n v="9"/>
    <n v="22"/>
    <n v="4"/>
    <n v="3"/>
    <n v="80"/>
    <n v="1"/>
    <n v="32"/>
    <n v="2"/>
    <n v="5"/>
    <n v="4"/>
    <n v="1"/>
    <n v="3"/>
  </r>
  <r>
    <s v="No"/>
    <s v="Travel_Frequently"/>
    <x v="2"/>
    <s v="Current Employees"/>
    <x v="1"/>
    <x v="1"/>
    <s v="STAFF-998"/>
    <n v="998"/>
    <x v="0"/>
    <x v="4"/>
    <x v="1"/>
    <s v="Yes"/>
    <s v="Y"/>
    <n v="2"/>
    <n v="-2"/>
    <n v="0"/>
    <n v="33"/>
    <n v="0"/>
    <m/>
    <n v="0"/>
    <n v="1"/>
    <n v="827"/>
    <n v="1"/>
    <x v="2"/>
    <n v="1"/>
    <n v="3"/>
    <n v="84"/>
    <n v="4"/>
    <n v="2"/>
    <n v="3"/>
    <n v="5488"/>
    <n v="20161"/>
    <n v="1"/>
    <n v="13"/>
    <n v="3"/>
    <n v="1"/>
    <n v="80"/>
    <n v="1"/>
    <n v="6"/>
    <n v="3"/>
    <n v="6"/>
    <n v="5"/>
    <n v="1"/>
    <n v="2"/>
  </r>
  <r>
    <s v="No"/>
    <s v="Travel_Frequently"/>
    <x v="0"/>
    <s v="Current Employees"/>
    <x v="1"/>
    <x v="2"/>
    <s v="STAFF-999"/>
    <n v="999"/>
    <x v="1"/>
    <x v="7"/>
    <x v="2"/>
    <s v="No"/>
    <s v="Y"/>
    <n v="2"/>
    <n v="-2"/>
    <n v="0"/>
    <n v="41"/>
    <n v="0"/>
    <m/>
    <n v="0"/>
    <n v="1"/>
    <n v="840"/>
    <n v="9"/>
    <x v="3"/>
    <n v="1"/>
    <n v="1"/>
    <n v="64"/>
    <n v="3"/>
    <n v="5"/>
    <n v="3"/>
    <n v="19419"/>
    <n v="3735"/>
    <n v="2"/>
    <n v="17"/>
    <n v="3"/>
    <n v="2"/>
    <n v="80"/>
    <n v="1"/>
    <n v="21"/>
    <n v="4"/>
    <n v="18"/>
    <n v="16"/>
    <n v="0"/>
    <n v="11"/>
  </r>
  <r>
    <s v="No"/>
    <s v="Travel_Rarely"/>
    <x v="2"/>
    <s v="Current Employees"/>
    <x v="1"/>
    <x v="4"/>
    <s v="STAFF-1001"/>
    <n v="1001"/>
    <x v="0"/>
    <x v="2"/>
    <x v="1"/>
    <s v="No"/>
    <s v="Y"/>
    <n v="2"/>
    <n v="-2"/>
    <n v="0"/>
    <n v="27"/>
    <n v="0"/>
    <m/>
    <n v="0"/>
    <n v="1"/>
    <n v="1134"/>
    <n v="16"/>
    <x v="2"/>
    <n v="1"/>
    <n v="4"/>
    <n v="37"/>
    <n v="3"/>
    <n v="1"/>
    <n v="4"/>
    <n v="2811"/>
    <n v="12086"/>
    <n v="9"/>
    <n v="14"/>
    <n v="3"/>
    <n v="2"/>
    <n v="80"/>
    <n v="1"/>
    <n v="4"/>
    <n v="3"/>
    <n v="2"/>
    <n v="2"/>
    <n v="2"/>
    <n v="2"/>
  </r>
  <r>
    <s v="No"/>
    <s v="Non-Travel"/>
    <x v="1"/>
    <s v="Current Employees"/>
    <x v="1"/>
    <x v="0"/>
    <s v="STAFF-1002"/>
    <n v="1002"/>
    <x v="1"/>
    <x v="2"/>
    <x v="1"/>
    <s v="Yes"/>
    <s v="Y"/>
    <n v="2"/>
    <n v="-2"/>
    <n v="0"/>
    <n v="45"/>
    <n v="0"/>
    <m/>
    <n v="0"/>
    <n v="1"/>
    <n v="248"/>
    <n v="23"/>
    <x v="0"/>
    <n v="1"/>
    <n v="4"/>
    <n v="42"/>
    <n v="3"/>
    <n v="2"/>
    <n v="1"/>
    <n v="3633"/>
    <n v="14039"/>
    <n v="1"/>
    <n v="15"/>
    <n v="3"/>
    <n v="3"/>
    <n v="80"/>
    <n v="1"/>
    <n v="9"/>
    <n v="3"/>
    <n v="9"/>
    <n v="8"/>
    <n v="0"/>
    <n v="8"/>
  </r>
  <r>
    <s v="No"/>
    <s v="Travel_Rarely"/>
    <x v="1"/>
    <s v="Current Employees"/>
    <x v="0"/>
    <x v="0"/>
    <s v="STAFF-1003"/>
    <n v="1003"/>
    <x v="0"/>
    <x v="0"/>
    <x v="0"/>
    <s v="Yes"/>
    <s v="Y"/>
    <n v="0"/>
    <n v="-2"/>
    <n v="0"/>
    <n v="47"/>
    <n v="0"/>
    <m/>
    <n v="0"/>
    <n v="1"/>
    <n v="955"/>
    <n v="4"/>
    <x v="0"/>
    <n v="1"/>
    <n v="4"/>
    <n v="83"/>
    <n v="3"/>
    <n v="2"/>
    <n v="1"/>
    <n v="4163"/>
    <n v="8571"/>
    <n v="1"/>
    <n v="17"/>
    <n v="3"/>
    <n v="3"/>
    <n v="80"/>
    <n v="0"/>
    <n v="9"/>
    <n v="3"/>
    <n v="9"/>
    <n v="0"/>
    <n v="0"/>
    <n v="7"/>
  </r>
  <r>
    <s v="Yes"/>
    <s v="Travel_Rarely"/>
    <x v="2"/>
    <s v="Ex-Employees"/>
    <x v="1"/>
    <x v="0"/>
    <s v="STAFF-1004"/>
    <n v="1004"/>
    <x v="0"/>
    <x v="1"/>
    <x v="1"/>
    <s v="Yes"/>
    <s v="Y"/>
    <n v="2"/>
    <n v="-2"/>
    <n v="0"/>
    <n v="30"/>
    <n v="1"/>
    <n v="1"/>
    <n v="1"/>
    <n v="0"/>
    <n v="138"/>
    <n v="22"/>
    <x v="3"/>
    <n v="1"/>
    <n v="1"/>
    <n v="48"/>
    <n v="3"/>
    <n v="1"/>
    <n v="1"/>
    <n v="2132"/>
    <n v="11539"/>
    <n v="4"/>
    <n v="11"/>
    <n v="3"/>
    <n v="2"/>
    <n v="80"/>
    <n v="0"/>
    <n v="7"/>
    <n v="3"/>
    <n v="5"/>
    <n v="2"/>
    <n v="0"/>
    <n v="1"/>
  </r>
  <r>
    <s v="No"/>
    <s v="Travel_Rarely"/>
    <x v="1"/>
    <s v="Current Employees"/>
    <x v="1"/>
    <x v="0"/>
    <s v="STAFF-1005"/>
    <n v="1005"/>
    <x v="1"/>
    <x v="3"/>
    <x v="1"/>
    <s v="Yes"/>
    <s v="Y"/>
    <n v="2"/>
    <n v="-2"/>
    <n v="0"/>
    <n v="50"/>
    <n v="0"/>
    <m/>
    <n v="0"/>
    <n v="1"/>
    <n v="939"/>
    <n v="24"/>
    <x v="3"/>
    <n v="1"/>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n v="3"/>
    <n v="2"/>
    <n v="80"/>
    <n v="1"/>
    <n v="3"/>
    <n v="2"/>
    <n v="2"/>
    <n v="1"/>
    <n v="0"/>
    <n v="2"/>
  </r>
  <r>
    <s v="No"/>
    <s v="Travel_Rarely"/>
    <x v="1"/>
    <s v="Current Employees"/>
    <x v="1"/>
    <x v="2"/>
    <s v="STAFF-1007"/>
    <n v="1007"/>
    <x v="1"/>
    <x v="3"/>
    <x v="2"/>
    <s v="No"/>
    <s v="Y"/>
    <n v="3"/>
    <n v="-2"/>
    <n v="0"/>
    <n v="46"/>
    <n v="0"/>
    <m/>
    <n v="0"/>
    <n v="1"/>
    <n v="566"/>
    <n v="7"/>
    <x v="0"/>
    <n v="1"/>
    <n v="4"/>
    <n v="75"/>
    <n v="3"/>
    <n v="3"/>
    <n v="3"/>
    <n v="10845"/>
    <n v="24208"/>
    <n v="6"/>
    <n v="13"/>
    <n v="3"/>
    <n v="2"/>
    <n v="80"/>
    <n v="1"/>
    <n v="13"/>
    <n v="3"/>
    <n v="8"/>
    <n v="7"/>
    <n v="0"/>
    <n v="7"/>
  </r>
  <r>
    <s v="No"/>
    <s v="Travel_Rarely"/>
    <x v="4"/>
    <s v="Current Employees"/>
    <x v="1"/>
    <x v="2"/>
    <s v="STAFF-1009"/>
    <n v="1009"/>
    <x v="0"/>
    <x v="3"/>
    <x v="2"/>
    <s v="No"/>
    <s v="Y"/>
    <n v="6"/>
    <n v="-2"/>
    <n v="0"/>
    <n v="24"/>
    <n v="0"/>
    <m/>
    <n v="0"/>
    <n v="1"/>
    <n v="1206"/>
    <n v="17"/>
    <x v="1"/>
    <n v="1"/>
    <n v="4"/>
    <n v="41"/>
    <n v="2"/>
    <n v="2"/>
    <n v="3"/>
    <n v="4377"/>
    <n v="24117"/>
    <n v="1"/>
    <n v="15"/>
    <n v="3"/>
    <n v="2"/>
    <n v="80"/>
    <n v="2"/>
    <n v="5"/>
    <n v="3"/>
    <n v="4"/>
    <n v="2"/>
    <n v="3"/>
    <n v="2"/>
  </r>
  <r>
    <s v="Yes"/>
    <s v="Travel_Rarely"/>
    <x v="0"/>
    <s v="Ex-Employees"/>
    <x v="1"/>
    <x v="1"/>
    <s v="STAFF-1010"/>
    <n v="1010"/>
    <x v="1"/>
    <x v="2"/>
    <x v="2"/>
    <s v="Yes"/>
    <s v="Y"/>
    <n v="2"/>
    <n v="-2"/>
    <n v="0"/>
    <n v="35"/>
    <n v="1"/>
    <n v="1"/>
    <n v="1"/>
    <n v="0"/>
    <n v="622"/>
    <n v="14"/>
    <x v="2"/>
    <n v="1"/>
    <n v="3"/>
    <n v="39"/>
    <n v="2"/>
    <n v="1"/>
    <n v="3"/>
    <n v="3743"/>
    <n v="10074"/>
    <n v="1"/>
    <n v="24"/>
    <n v="4"/>
    <n v="4"/>
    <n v="80"/>
    <n v="1"/>
    <n v="5"/>
    <n v="1"/>
    <n v="4"/>
    <n v="2"/>
    <n v="0"/>
    <n v="2"/>
  </r>
  <r>
    <s v="No"/>
    <s v="Travel_Frequently"/>
    <x v="2"/>
    <s v="Current Employees"/>
    <x v="1"/>
    <x v="0"/>
    <s v="STAFF-1011"/>
    <n v="1011"/>
    <x v="0"/>
    <x v="3"/>
    <x v="1"/>
    <s v="No"/>
    <s v="Y"/>
    <n v="1"/>
    <n v="-2"/>
    <n v="0"/>
    <n v="31"/>
    <n v="0"/>
    <m/>
    <n v="0"/>
    <n v="1"/>
    <n v="853"/>
    <n v="1"/>
    <x v="1"/>
    <n v="1"/>
    <n v="3"/>
    <n v="96"/>
    <n v="3"/>
    <n v="2"/>
    <n v="1"/>
    <n v="4148"/>
    <n v="11275"/>
    <n v="1"/>
    <n v="12"/>
    <n v="3"/>
    <n v="3"/>
    <n v="80"/>
    <n v="1"/>
    <n v="4"/>
    <n v="3"/>
    <n v="4"/>
    <n v="3"/>
    <n v="0"/>
    <n v="3"/>
  </r>
  <r>
    <s v="No"/>
    <s v="Non-Travel"/>
    <x v="4"/>
    <s v="Current Employees"/>
    <x v="1"/>
    <x v="0"/>
    <s v="STAFF-1012"/>
    <n v="1012"/>
    <x v="1"/>
    <x v="1"/>
    <x v="0"/>
    <s v="No"/>
    <s v="Y"/>
    <n v="2"/>
    <n v="-2"/>
    <n v="0"/>
    <n v="18"/>
    <n v="0"/>
    <m/>
    <n v="0"/>
    <n v="1"/>
    <n v="287"/>
    <n v="5"/>
    <x v="0"/>
    <n v="1"/>
    <n v="2"/>
    <n v="73"/>
    <n v="3"/>
    <n v="1"/>
    <n v="1"/>
    <n v="1051"/>
    <n v="13493"/>
    <n v="1"/>
    <n v="15"/>
    <n v="3"/>
    <n v="4"/>
    <n v="80"/>
    <n v="0"/>
    <n v="0"/>
    <n v="3"/>
    <n v="0"/>
    <n v="0"/>
    <n v="0"/>
    <n v="0"/>
  </r>
  <r>
    <s v="No"/>
    <s v="Travel_Rarely"/>
    <x v="1"/>
    <s v="Current Employees"/>
    <x v="1"/>
    <x v="4"/>
    <s v="STAFF-1013"/>
    <n v="1013"/>
    <x v="0"/>
    <x v="3"/>
    <x v="1"/>
    <s v="No"/>
    <s v="Y"/>
    <n v="2"/>
    <n v="-2"/>
    <n v="0"/>
    <n v="54"/>
    <n v="0"/>
    <m/>
    <n v="0"/>
    <n v="1"/>
    <n v="1441"/>
    <n v="17"/>
    <x v="3"/>
    <n v="1"/>
    <n v="4"/>
    <n v="56"/>
    <n v="3"/>
    <n v="3"/>
    <n v="4"/>
    <n v="10739"/>
    <n v="13943"/>
    <n v="8"/>
    <n v="11"/>
    <n v="3"/>
    <n v="3"/>
    <n v="80"/>
    <n v="1"/>
    <n v="22"/>
    <n v="3"/>
    <n v="10"/>
    <n v="7"/>
    <n v="0"/>
    <n v="8"/>
  </r>
  <r>
    <s v="No"/>
    <s v="Travel_Rarely"/>
    <x v="0"/>
    <s v="Current Employees"/>
    <x v="1"/>
    <x v="2"/>
    <s v="STAFF-1014"/>
    <n v="1014"/>
    <x v="0"/>
    <x v="4"/>
    <x v="2"/>
    <s v="Yes"/>
    <s v="Y"/>
    <n v="3"/>
    <n v="-2"/>
    <n v="0"/>
    <n v="35"/>
    <n v="0"/>
    <m/>
    <n v="0"/>
    <n v="1"/>
    <n v="583"/>
    <n v="25"/>
    <x v="2"/>
    <n v="1"/>
    <n v="3"/>
    <n v="57"/>
    <n v="3"/>
    <n v="3"/>
    <n v="3"/>
    <n v="10388"/>
    <n v="6975"/>
    <n v="1"/>
    <n v="11"/>
    <n v="3"/>
    <n v="3"/>
    <n v="80"/>
    <n v="1"/>
    <n v="16"/>
    <n v="2"/>
    <n v="16"/>
    <n v="10"/>
    <n v="10"/>
    <n v="1"/>
  </r>
  <r>
    <s v="No"/>
    <s v="Travel_Rarely"/>
    <x v="2"/>
    <s v="Current Employees"/>
    <x v="1"/>
    <x v="0"/>
    <s v="STAFF-1015"/>
    <n v="1015"/>
    <x v="0"/>
    <x v="7"/>
    <x v="1"/>
    <s v="Yes"/>
    <s v="Y"/>
    <n v="4"/>
    <n v="-2"/>
    <n v="0"/>
    <n v="30"/>
    <n v="0"/>
    <m/>
    <n v="0"/>
    <n v="1"/>
    <n v="153"/>
    <n v="8"/>
    <x v="0"/>
    <n v="1"/>
    <n v="2"/>
    <n v="73"/>
    <n v="4"/>
    <n v="3"/>
    <n v="1"/>
    <n v="11416"/>
    <n v="17802"/>
    <n v="0"/>
    <n v="12"/>
    <n v="3"/>
    <n v="3"/>
    <n v="80"/>
    <n v="3"/>
    <n v="9"/>
    <n v="2"/>
    <n v="8"/>
    <n v="7"/>
    <n v="1"/>
    <n v="7"/>
  </r>
  <r>
    <s v="Yes"/>
    <s v="Travel_Rarely"/>
    <x v="4"/>
    <s v="Ex-Employees"/>
    <x v="1"/>
    <x v="2"/>
    <s v="STAFF-1016"/>
    <n v="1016"/>
    <x v="0"/>
    <x v="1"/>
    <x v="0"/>
    <s v="Yes"/>
    <s v="Y"/>
    <n v="2"/>
    <n v="-2"/>
    <n v="0"/>
    <n v="20"/>
    <n v="1"/>
    <n v="1"/>
    <n v="1"/>
    <n v="0"/>
    <n v="1097"/>
    <n v="11"/>
    <x v="3"/>
    <n v="1"/>
    <n v="4"/>
    <n v="98"/>
    <n v="2"/>
    <n v="1"/>
    <n v="3"/>
    <n v="2600"/>
    <n v="18275"/>
    <n v="1"/>
    <n v="15"/>
    <n v="3"/>
    <n v="1"/>
    <n v="80"/>
    <n v="0"/>
    <n v="1"/>
    <n v="3"/>
    <n v="1"/>
    <n v="0"/>
    <n v="0"/>
    <n v="0"/>
  </r>
  <r>
    <s v="Yes"/>
    <s v="Travel_Frequently"/>
    <x v="2"/>
    <s v="Ex-Employees"/>
    <x v="1"/>
    <x v="2"/>
    <s v="STAFF-1017"/>
    <n v="1017"/>
    <x v="0"/>
    <x v="2"/>
    <x v="0"/>
    <s v="No"/>
    <s v="Y"/>
    <n v="3"/>
    <n v="-2"/>
    <n v="0"/>
    <n v="30"/>
    <n v="1"/>
    <n v="1"/>
    <n v="1"/>
    <n v="0"/>
    <n v="109"/>
    <n v="5"/>
    <x v="3"/>
    <n v="1"/>
    <n v="2"/>
    <n v="60"/>
    <n v="3"/>
    <n v="1"/>
    <n v="3"/>
    <n v="2422"/>
    <n v="25725"/>
    <n v="0"/>
    <n v="17"/>
    <n v="3"/>
    <n v="1"/>
    <n v="80"/>
    <n v="0"/>
    <n v="4"/>
    <n v="3"/>
    <n v="3"/>
    <n v="2"/>
    <n v="1"/>
    <n v="2"/>
  </r>
  <r>
    <s v="No"/>
    <s v="Travel_Rarely"/>
    <x v="2"/>
    <s v="Current Employees"/>
    <x v="1"/>
    <x v="2"/>
    <s v="STAFF-1018"/>
    <n v="1018"/>
    <x v="1"/>
    <x v="3"/>
    <x v="1"/>
    <s v="No"/>
    <s v="Y"/>
    <n v="2"/>
    <n v="-2"/>
    <n v="0"/>
    <n v="26"/>
    <n v="0"/>
    <m/>
    <n v="0"/>
    <n v="1"/>
    <n v="1066"/>
    <n v="2"/>
    <x v="0"/>
    <n v="1"/>
    <n v="4"/>
    <n v="32"/>
    <n v="4"/>
    <n v="2"/>
    <n v="4"/>
    <n v="5472"/>
    <n v="3334"/>
    <n v="1"/>
    <n v="12"/>
    <n v="3"/>
    <n v="2"/>
    <n v="80"/>
    <n v="0"/>
    <n v="8"/>
    <n v="3"/>
    <n v="8"/>
    <n v="7"/>
    <n v="1"/>
    <n v="3"/>
  </r>
  <r>
    <s v="No"/>
    <s v="Travel_Rarely"/>
    <x v="4"/>
    <s v="Current Employees"/>
    <x v="1"/>
    <x v="0"/>
    <s v="STAFF-1019"/>
    <n v="1019"/>
    <x v="1"/>
    <x v="2"/>
    <x v="1"/>
    <s v="No"/>
    <s v="Y"/>
    <n v="3"/>
    <n v="-2"/>
    <n v="0"/>
    <n v="22"/>
    <n v="0"/>
    <m/>
    <n v="0"/>
    <n v="1"/>
    <n v="217"/>
    <n v="8"/>
    <x v="1"/>
    <n v="1"/>
    <n v="2"/>
    <n v="94"/>
    <n v="1"/>
    <n v="1"/>
    <n v="1"/>
    <n v="2451"/>
    <n v="6881"/>
    <n v="1"/>
    <n v="15"/>
    <n v="3"/>
    <n v="1"/>
    <n v="80"/>
    <n v="1"/>
    <n v="4"/>
    <n v="2"/>
    <n v="4"/>
    <n v="3"/>
    <n v="1"/>
    <n v="1"/>
  </r>
  <r>
    <s v="No"/>
    <s v="Travel_Rarely"/>
    <x v="1"/>
    <s v="Current Employees"/>
    <x v="1"/>
    <x v="0"/>
    <s v="STAFF-1022"/>
    <n v="1022"/>
    <x v="1"/>
    <x v="4"/>
    <x v="0"/>
    <s v="No"/>
    <s v="Y"/>
    <n v="0"/>
    <n v="-2"/>
    <n v="0"/>
    <n v="48"/>
    <n v="0"/>
    <m/>
    <n v="0"/>
    <n v="1"/>
    <n v="277"/>
    <n v="6"/>
    <x v="3"/>
    <n v="1"/>
    <n v="1"/>
    <n v="97"/>
    <n v="2"/>
    <n v="2"/>
    <n v="1"/>
    <n v="4240"/>
    <n v="13119"/>
    <n v="2"/>
    <n v="13"/>
    <n v="3"/>
    <n v="4"/>
    <n v="80"/>
    <n v="0"/>
    <n v="19"/>
    <n v="3"/>
    <n v="2"/>
    <n v="2"/>
    <n v="2"/>
    <n v="2"/>
  </r>
  <r>
    <s v="No"/>
    <s v="Travel_Rarely"/>
    <x v="1"/>
    <s v="Current Employees"/>
    <x v="1"/>
    <x v="0"/>
    <s v="STAFF-1024"/>
    <n v="1024"/>
    <x v="1"/>
    <x v="4"/>
    <x v="0"/>
    <s v="No"/>
    <s v="Y"/>
    <n v="3"/>
    <n v="-2"/>
    <n v="0"/>
    <n v="48"/>
    <n v="0"/>
    <m/>
    <n v="0"/>
    <n v="1"/>
    <n v="1355"/>
    <n v="4"/>
    <x v="2"/>
    <n v="1"/>
    <n v="3"/>
    <n v="78"/>
    <n v="2"/>
    <n v="3"/>
    <n v="1"/>
    <n v="10999"/>
    <n v="22245"/>
    <n v="7"/>
    <n v="14"/>
    <n v="3"/>
    <n v="2"/>
    <n v="80"/>
    <n v="0"/>
    <n v="27"/>
    <n v="3"/>
    <n v="15"/>
    <n v="11"/>
    <n v="4"/>
    <n v="8"/>
  </r>
  <r>
    <s v="No"/>
    <s v="Travel_Rarely"/>
    <x v="0"/>
    <s v="Current Employees"/>
    <x v="1"/>
    <x v="2"/>
    <s v="STAFF-1025"/>
    <n v="1025"/>
    <x v="0"/>
    <x v="3"/>
    <x v="0"/>
    <s v="No"/>
    <s v="Y"/>
    <n v="6"/>
    <n v="-2"/>
    <n v="0"/>
    <n v="41"/>
    <n v="0"/>
    <m/>
    <n v="0"/>
    <n v="1"/>
    <n v="549"/>
    <n v="7"/>
    <x v="0"/>
    <n v="1"/>
    <n v="4"/>
    <n v="42"/>
    <n v="3"/>
    <n v="2"/>
    <n v="3"/>
    <n v="5003"/>
    <n v="23371"/>
    <n v="6"/>
    <n v="14"/>
    <n v="3"/>
    <n v="2"/>
    <n v="80"/>
    <n v="0"/>
    <n v="8"/>
    <n v="3"/>
    <n v="2"/>
    <n v="2"/>
    <n v="2"/>
    <n v="1"/>
  </r>
  <r>
    <s v="No"/>
    <s v="Travel_Rarely"/>
    <x v="0"/>
    <s v="Current Employees"/>
    <x v="1"/>
    <x v="0"/>
    <s v="STAFF-1026"/>
    <n v="1026"/>
    <x v="0"/>
    <x v="3"/>
    <x v="1"/>
    <s v="No"/>
    <s v="Y"/>
    <n v="3"/>
    <n v="-2"/>
    <n v="0"/>
    <n v="39"/>
    <n v="0"/>
    <m/>
    <n v="0"/>
    <n v="1"/>
    <n v="466"/>
    <n v="1"/>
    <x v="1"/>
    <n v="1"/>
    <n v="4"/>
    <n v="65"/>
    <n v="2"/>
    <n v="4"/>
    <n v="1"/>
    <n v="12742"/>
    <n v="7060"/>
    <n v="1"/>
    <n v="16"/>
    <n v="3"/>
    <n v="3"/>
    <n v="80"/>
    <n v="1"/>
    <n v="21"/>
    <n v="3"/>
    <n v="21"/>
    <n v="6"/>
    <n v="11"/>
    <n v="8"/>
  </r>
  <r>
    <s v="No"/>
    <s v="Travel_Rarely"/>
    <x v="2"/>
    <s v="Current Employees"/>
    <x v="1"/>
    <x v="0"/>
    <s v="STAFF-1027"/>
    <n v="1027"/>
    <x v="0"/>
    <x v="3"/>
    <x v="1"/>
    <s v="No"/>
    <s v="Y"/>
    <n v="2"/>
    <n v="-2"/>
    <n v="0"/>
    <n v="27"/>
    <n v="0"/>
    <m/>
    <n v="0"/>
    <n v="1"/>
    <n v="1055"/>
    <n v="2"/>
    <x v="2"/>
    <n v="1"/>
    <n v="1"/>
    <n v="47"/>
    <n v="3"/>
    <n v="2"/>
    <n v="1"/>
    <n v="4227"/>
    <n v="4658"/>
    <n v="0"/>
    <n v="18"/>
    <n v="3"/>
    <n v="2"/>
    <n v="80"/>
    <n v="1"/>
    <n v="4"/>
    <n v="3"/>
    <n v="3"/>
    <n v="2"/>
    <n v="2"/>
    <n v="2"/>
  </r>
  <r>
    <s v="No"/>
    <s v="Travel_Rarely"/>
    <x v="0"/>
    <s v="Current Employees"/>
    <x v="1"/>
    <x v="1"/>
    <s v="STAFF-1028"/>
    <n v="1028"/>
    <x v="1"/>
    <x v="2"/>
    <x v="2"/>
    <s v="No"/>
    <s v="Y"/>
    <n v="4"/>
    <n v="-2"/>
    <n v="0"/>
    <n v="35"/>
    <n v="0"/>
    <m/>
    <n v="0"/>
    <n v="1"/>
    <n v="802"/>
    <n v="10"/>
    <x v="3"/>
    <n v="1"/>
    <n v="2"/>
    <n v="45"/>
    <n v="3"/>
    <n v="1"/>
    <n v="4"/>
    <n v="3917"/>
    <n v="9541"/>
    <n v="1"/>
    <n v="20"/>
    <n v="4"/>
    <n v="1"/>
    <n v="80"/>
    <n v="1"/>
    <n v="3"/>
    <n v="2"/>
    <n v="3"/>
    <n v="2"/>
    <n v="1"/>
    <n v="2"/>
  </r>
  <r>
    <s v="No"/>
    <s v="Travel_Rarely"/>
    <x v="0"/>
    <s v="Current Employees"/>
    <x v="0"/>
    <x v="3"/>
    <s v="STAFF-1029"/>
    <n v="1029"/>
    <x v="1"/>
    <x v="5"/>
    <x v="1"/>
    <s v="No"/>
    <s v="Y"/>
    <n v="3"/>
    <n v="-2"/>
    <n v="0"/>
    <n v="42"/>
    <n v="0"/>
    <m/>
    <n v="0"/>
    <n v="1"/>
    <n v="265"/>
    <n v="5"/>
    <x v="0"/>
    <n v="1"/>
    <n v="4"/>
    <n v="90"/>
    <n v="3"/>
    <n v="5"/>
    <n v="2"/>
    <n v="18303"/>
    <n v="7770"/>
    <n v="6"/>
    <n v="13"/>
    <n v="3"/>
    <n v="2"/>
    <n v="80"/>
    <n v="0"/>
    <n v="21"/>
    <n v="4"/>
    <n v="1"/>
    <n v="0"/>
    <n v="0"/>
    <n v="0"/>
  </r>
  <r>
    <s v="No"/>
    <s v="Travel_Rarely"/>
    <x v="1"/>
    <s v="Current Employees"/>
    <x v="1"/>
    <x v="0"/>
    <s v="STAFF-1030"/>
    <n v="1030"/>
    <x v="1"/>
    <x v="2"/>
    <x v="1"/>
    <s v="No"/>
    <s v="Y"/>
    <n v="5"/>
    <n v="-2"/>
    <n v="0"/>
    <n v="50"/>
    <n v="0"/>
    <m/>
    <n v="0"/>
    <n v="1"/>
    <n v="804"/>
    <n v="9"/>
    <x v="3"/>
    <n v="1"/>
    <n v="1"/>
    <n v="64"/>
    <n v="3"/>
    <n v="1"/>
    <n v="1"/>
    <n v="2380"/>
    <n v="20165"/>
    <n v="4"/>
    <n v="18"/>
    <n v="3"/>
    <n v="2"/>
    <n v="80"/>
    <n v="0"/>
    <n v="8"/>
    <n v="3"/>
    <n v="1"/>
    <n v="0"/>
    <n v="0"/>
    <n v="0"/>
  </r>
  <r>
    <s v="No"/>
    <s v="Travel_Rarely"/>
    <x v="3"/>
    <s v="Current Employees"/>
    <x v="1"/>
    <x v="0"/>
    <s v="STAFF-1032"/>
    <n v="1032"/>
    <x v="0"/>
    <x v="3"/>
    <x v="0"/>
    <s v="Yes"/>
    <s v="Y"/>
    <n v="4"/>
    <n v="-2"/>
    <n v="0"/>
    <n v="59"/>
    <n v="0"/>
    <m/>
    <n v="0"/>
    <n v="1"/>
    <n v="715"/>
    <n v="2"/>
    <x v="3"/>
    <n v="1"/>
    <n v="3"/>
    <n v="69"/>
    <n v="2"/>
    <n v="4"/>
    <n v="1"/>
    <n v="13726"/>
    <n v="21829"/>
    <n v="3"/>
    <n v="13"/>
    <n v="3"/>
    <n v="1"/>
    <n v="80"/>
    <n v="0"/>
    <n v="30"/>
    <n v="3"/>
    <n v="5"/>
    <n v="3"/>
    <n v="4"/>
    <n v="3"/>
  </r>
  <r>
    <s v="Yes"/>
    <s v="Travel_Rarely"/>
    <x v="0"/>
    <s v="Ex-Employees"/>
    <x v="1"/>
    <x v="2"/>
    <s v="STAFF-1033"/>
    <n v="1033"/>
    <x v="0"/>
    <x v="4"/>
    <x v="1"/>
    <s v="No"/>
    <s v="Y"/>
    <n v="2"/>
    <n v="-2"/>
    <n v="0"/>
    <n v="37"/>
    <n v="1"/>
    <n v="1"/>
    <n v="1"/>
    <n v="0"/>
    <n v="1141"/>
    <n v="11"/>
    <x v="0"/>
    <n v="1"/>
    <n v="1"/>
    <n v="61"/>
    <n v="1"/>
    <n v="2"/>
    <n v="3"/>
    <n v="4777"/>
    <n v="14382"/>
    <n v="5"/>
    <n v="15"/>
    <n v="3"/>
    <n v="1"/>
    <n v="80"/>
    <n v="0"/>
    <n v="15"/>
    <n v="1"/>
    <n v="1"/>
    <n v="0"/>
    <n v="0"/>
    <n v="0"/>
  </r>
  <r>
    <s v="No"/>
    <s v="Travel_Frequently"/>
    <x v="3"/>
    <s v="Current Employees"/>
    <x v="1"/>
    <x v="2"/>
    <s v="STAFF-1034"/>
    <n v="1034"/>
    <x v="1"/>
    <x v="4"/>
    <x v="1"/>
    <s v="Yes"/>
    <s v="Y"/>
    <n v="3"/>
    <n v="-2"/>
    <n v="0"/>
    <n v="55"/>
    <n v="0"/>
    <m/>
    <n v="0"/>
    <n v="1"/>
    <n v="135"/>
    <n v="18"/>
    <x v="2"/>
    <n v="1"/>
    <n v="3"/>
    <n v="62"/>
    <n v="3"/>
    <n v="2"/>
    <n v="3"/>
    <n v="6385"/>
    <n v="12992"/>
    <n v="3"/>
    <n v="14"/>
    <n v="3"/>
    <n v="4"/>
    <n v="80"/>
    <n v="2"/>
    <n v="17"/>
    <n v="3"/>
    <n v="8"/>
    <n v="7"/>
    <n v="6"/>
    <n v="7"/>
  </r>
  <r>
    <s v="No"/>
    <s v="Non-Travel"/>
    <x v="0"/>
    <s v="Current Employees"/>
    <x v="1"/>
    <x v="0"/>
    <s v="STAFF-1035"/>
    <n v="1035"/>
    <x v="0"/>
    <x v="7"/>
    <x v="2"/>
    <s v="No"/>
    <s v="Y"/>
    <n v="3"/>
    <n v="-2"/>
    <n v="0"/>
    <n v="41"/>
    <n v="0"/>
    <m/>
    <n v="0"/>
    <n v="1"/>
    <n v="247"/>
    <n v="7"/>
    <x v="1"/>
    <n v="1"/>
    <n v="2"/>
    <n v="55"/>
    <n v="1"/>
    <n v="5"/>
    <n v="1"/>
    <n v="19973"/>
    <n v="20284"/>
    <n v="1"/>
    <n v="22"/>
    <n v="4"/>
    <n v="2"/>
    <n v="80"/>
    <n v="2"/>
    <n v="21"/>
    <n v="3"/>
    <n v="21"/>
    <n v="16"/>
    <n v="5"/>
    <n v="10"/>
  </r>
  <r>
    <s v="No"/>
    <s v="Travel_Rarely"/>
    <x v="0"/>
    <s v="Current Employees"/>
    <x v="0"/>
    <x v="0"/>
    <s v="STAFF-1036"/>
    <n v="1036"/>
    <x v="1"/>
    <x v="0"/>
    <x v="0"/>
    <s v="Yes"/>
    <s v="Y"/>
    <n v="1"/>
    <n v="-2"/>
    <n v="0"/>
    <n v="38"/>
    <n v="0"/>
    <m/>
    <n v="0"/>
    <n v="1"/>
    <n v="1035"/>
    <n v="3"/>
    <x v="2"/>
    <n v="1"/>
    <n v="2"/>
    <n v="42"/>
    <n v="3"/>
    <n v="2"/>
    <n v="1"/>
    <n v="6861"/>
    <n v="4981"/>
    <n v="8"/>
    <n v="12"/>
    <n v="3"/>
    <n v="3"/>
    <n v="80"/>
    <n v="0"/>
    <n v="19"/>
    <n v="3"/>
    <n v="1"/>
    <n v="0"/>
    <n v="0"/>
    <n v="0"/>
  </r>
  <r>
    <s v="Yes"/>
    <s v="Non-Travel"/>
    <x v="2"/>
    <s v="Ex-Employees"/>
    <x v="0"/>
    <x v="2"/>
    <s v="STAFF-1037"/>
    <n v="1037"/>
    <x v="1"/>
    <x v="0"/>
    <x v="0"/>
    <s v="No"/>
    <s v="Y"/>
    <n v="6"/>
    <n v="-2"/>
    <n v="0"/>
    <n v="26"/>
    <n v="1"/>
    <n v="1"/>
    <n v="1"/>
    <n v="0"/>
    <n v="265"/>
    <n v="29"/>
    <x v="0"/>
    <n v="1"/>
    <n v="2"/>
    <n v="79"/>
    <n v="1"/>
    <n v="2"/>
    <n v="3"/>
    <n v="4969"/>
    <n v="21813"/>
    <n v="8"/>
    <n v="18"/>
    <n v="3"/>
    <n v="4"/>
    <n v="80"/>
    <n v="0"/>
    <n v="7"/>
    <n v="3"/>
    <n v="2"/>
    <n v="2"/>
    <n v="2"/>
    <n v="2"/>
  </r>
  <r>
    <s v="Yes"/>
    <s v="Travel_Rarely"/>
    <x v="1"/>
    <s v="Ex-Employees"/>
    <x v="0"/>
    <x v="3"/>
    <s v="STAFF-1038"/>
    <n v="1038"/>
    <x v="0"/>
    <x v="5"/>
    <x v="1"/>
    <s v="No"/>
    <s v="Y"/>
    <n v="3"/>
    <n v="-2"/>
    <n v="0"/>
    <n v="52"/>
    <n v="1"/>
    <n v="1"/>
    <n v="1"/>
    <n v="0"/>
    <n v="266"/>
    <n v="2"/>
    <x v="1"/>
    <n v="1"/>
    <n v="1"/>
    <n v="57"/>
    <n v="1"/>
    <n v="5"/>
    <n v="2"/>
    <n v="19845"/>
    <n v="25846"/>
    <n v="1"/>
    <n v="15"/>
    <n v="3"/>
    <n v="4"/>
    <n v="80"/>
    <n v="1"/>
    <n v="33"/>
    <n v="3"/>
    <n v="32"/>
    <n v="14"/>
    <n v="6"/>
    <n v="9"/>
  </r>
  <r>
    <s v="No"/>
    <s v="Travel_Rarely"/>
    <x v="0"/>
    <s v="Current Employees"/>
    <x v="0"/>
    <x v="2"/>
    <s v="STAFF-1039"/>
    <n v="1039"/>
    <x v="0"/>
    <x v="0"/>
    <x v="1"/>
    <s v="Yes"/>
    <s v="Y"/>
    <n v="2"/>
    <n v="-2"/>
    <n v="0"/>
    <n v="44"/>
    <n v="0"/>
    <m/>
    <n v="0"/>
    <n v="1"/>
    <n v="1448"/>
    <n v="28"/>
    <x v="3"/>
    <n v="1"/>
    <n v="4"/>
    <n v="53"/>
    <n v="4"/>
    <n v="4"/>
    <n v="4"/>
    <n v="13320"/>
    <n v="11737"/>
    <n v="3"/>
    <n v="18"/>
    <n v="3"/>
    <n v="3"/>
    <n v="80"/>
    <n v="1"/>
    <n v="23"/>
    <n v="3"/>
    <n v="12"/>
    <n v="11"/>
    <n v="11"/>
    <n v="11"/>
  </r>
  <r>
    <s v="No"/>
    <s v="Non-Travel"/>
    <x v="1"/>
    <s v="Current Employees"/>
    <x v="0"/>
    <x v="0"/>
    <s v="STAFF-1040"/>
    <n v="1040"/>
    <x v="0"/>
    <x v="0"/>
    <x v="1"/>
    <s v="No"/>
    <s v="Y"/>
    <n v="3"/>
    <n v="-2"/>
    <n v="0"/>
    <n v="50"/>
    <n v="0"/>
    <m/>
    <n v="0"/>
    <n v="1"/>
    <n v="145"/>
    <n v="1"/>
    <x v="3"/>
    <n v="1"/>
    <n v="4"/>
    <n v="95"/>
    <n v="3"/>
    <n v="2"/>
    <n v="1"/>
    <n v="6347"/>
    <n v="24920"/>
    <n v="0"/>
    <n v="12"/>
    <n v="3"/>
    <n v="1"/>
    <n v="80"/>
    <n v="1"/>
    <n v="19"/>
    <n v="3"/>
    <n v="18"/>
    <n v="7"/>
    <n v="0"/>
    <n v="13"/>
  </r>
  <r>
    <s v="Yes"/>
    <s v="Travel_Rarely"/>
    <x v="0"/>
    <s v="Ex-Employees"/>
    <x v="1"/>
    <x v="0"/>
    <s v="STAFF-1042"/>
    <n v="1042"/>
    <x v="0"/>
    <x v="2"/>
    <x v="0"/>
    <s v="No"/>
    <s v="Y"/>
    <n v="1"/>
    <n v="-2"/>
    <n v="0"/>
    <n v="36"/>
    <n v="1"/>
    <n v="1"/>
    <n v="1"/>
    <n v="0"/>
    <n v="885"/>
    <n v="16"/>
    <x v="2"/>
    <n v="1"/>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n v="3"/>
    <n v="3"/>
    <n v="80"/>
    <n v="0"/>
    <n v="21"/>
    <n v="3"/>
    <n v="21"/>
    <n v="6"/>
    <n v="2"/>
    <n v="8"/>
  </r>
  <r>
    <s v="No"/>
    <s v="Non-Travel"/>
    <x v="2"/>
    <s v="Current Employees"/>
    <x v="0"/>
    <x v="0"/>
    <s v="STAFF-1044"/>
    <n v="1044"/>
    <x v="0"/>
    <x v="6"/>
    <x v="0"/>
    <s v="No"/>
    <s v="Y"/>
    <n v="2"/>
    <n v="-2"/>
    <n v="0"/>
    <n v="33"/>
    <n v="0"/>
    <m/>
    <n v="0"/>
    <n v="1"/>
    <n v="1038"/>
    <n v="8"/>
    <x v="1"/>
    <n v="1"/>
    <n v="2"/>
    <n v="88"/>
    <n v="2"/>
    <n v="1"/>
    <n v="1"/>
    <n v="2342"/>
    <n v="21437"/>
    <n v="0"/>
    <n v="19"/>
    <n v="3"/>
    <n v="4"/>
    <n v="80"/>
    <n v="0"/>
    <n v="3"/>
    <n v="2"/>
    <n v="2"/>
    <n v="2"/>
    <n v="2"/>
    <n v="2"/>
  </r>
  <r>
    <s v="No"/>
    <s v="Travel_Rarely"/>
    <x v="1"/>
    <s v="Current Employees"/>
    <x v="0"/>
    <x v="0"/>
    <s v="STAFF-1045"/>
    <n v="1045"/>
    <x v="0"/>
    <x v="5"/>
    <x v="1"/>
    <s v="No"/>
    <s v="Y"/>
    <n v="4"/>
    <n v="-2"/>
    <n v="0"/>
    <n v="45"/>
    <n v="0"/>
    <m/>
    <n v="0"/>
    <n v="1"/>
    <n v="1234"/>
    <n v="11"/>
    <x v="0"/>
    <n v="1"/>
    <n v="4"/>
    <n v="90"/>
    <n v="3"/>
    <n v="4"/>
    <n v="1"/>
    <n v="17650"/>
    <n v="5404"/>
    <n v="3"/>
    <n v="13"/>
    <n v="3"/>
    <n v="2"/>
    <n v="80"/>
    <n v="1"/>
    <n v="26"/>
    <n v="4"/>
    <n v="9"/>
    <n v="3"/>
    <n v="1"/>
    <n v="1"/>
  </r>
  <r>
    <s v="No"/>
    <s v="Non-Travel"/>
    <x v="2"/>
    <s v="Current Employees"/>
    <x v="1"/>
    <x v="2"/>
    <s v="STAFF-1046"/>
    <n v="1046"/>
    <x v="0"/>
    <x v="2"/>
    <x v="0"/>
    <s v="No"/>
    <s v="Y"/>
    <n v="2"/>
    <n v="-2"/>
    <n v="0"/>
    <n v="32"/>
    <n v="0"/>
    <m/>
    <n v="0"/>
    <n v="1"/>
    <n v="1109"/>
    <n v="29"/>
    <x v="2"/>
    <n v="1"/>
    <n v="4"/>
    <n v="69"/>
    <n v="3"/>
    <n v="1"/>
    <n v="3"/>
    <n v="4025"/>
    <n v="11135"/>
    <n v="9"/>
    <n v="12"/>
    <n v="3"/>
    <n v="2"/>
    <n v="80"/>
    <n v="0"/>
    <n v="10"/>
    <n v="3"/>
    <n v="8"/>
    <n v="7"/>
    <n v="7"/>
    <n v="7"/>
  </r>
  <r>
    <s v="No"/>
    <s v="Travel_Rarely"/>
    <x v="2"/>
    <s v="Current Employees"/>
    <x v="0"/>
    <x v="3"/>
    <s v="STAFF-1047"/>
    <n v="1047"/>
    <x v="1"/>
    <x v="0"/>
    <x v="2"/>
    <s v="No"/>
    <s v="Y"/>
    <n v="2"/>
    <n v="-2"/>
    <n v="0"/>
    <n v="34"/>
    <n v="0"/>
    <m/>
    <n v="0"/>
    <n v="1"/>
    <n v="216"/>
    <n v="1"/>
    <x v="2"/>
    <n v="1"/>
    <n v="2"/>
    <n v="75"/>
    <n v="4"/>
    <n v="2"/>
    <n v="2"/>
    <n v="9725"/>
    <n v="12278"/>
    <n v="0"/>
    <n v="11"/>
    <n v="3"/>
    <n v="4"/>
    <n v="80"/>
    <n v="1"/>
    <n v="16"/>
    <n v="2"/>
    <n v="15"/>
    <n v="1"/>
    <n v="0"/>
    <n v="9"/>
  </r>
  <r>
    <s v="No"/>
    <s v="Travel_Rarely"/>
    <x v="3"/>
    <s v="Current Employees"/>
    <x v="0"/>
    <x v="4"/>
    <s v="STAFF-1048"/>
    <n v="1048"/>
    <x v="1"/>
    <x v="5"/>
    <x v="1"/>
    <s v="Yes"/>
    <s v="Y"/>
    <n v="1"/>
    <n v="-2"/>
    <n v="0"/>
    <n v="59"/>
    <n v="0"/>
    <m/>
    <n v="0"/>
    <n v="1"/>
    <n v="1089"/>
    <n v="1"/>
    <x v="0"/>
    <n v="1"/>
    <n v="4"/>
    <n v="66"/>
    <n v="3"/>
    <n v="3"/>
    <n v="4"/>
    <n v="11904"/>
    <n v="11038"/>
    <n v="3"/>
    <n v="14"/>
    <n v="3"/>
    <n v="3"/>
    <n v="80"/>
    <n v="1"/>
    <n v="14"/>
    <n v="1"/>
    <n v="6"/>
    <n v="4"/>
    <n v="0"/>
    <n v="4"/>
  </r>
  <r>
    <s v="No"/>
    <s v="Travel_Rarely"/>
    <x v="1"/>
    <s v="Current Employees"/>
    <x v="2"/>
    <x v="2"/>
    <s v="STAFF-1049"/>
    <n v="1049"/>
    <x v="1"/>
    <x v="8"/>
    <x v="0"/>
    <s v="No"/>
    <s v="Y"/>
    <n v="3"/>
    <n v="-2"/>
    <n v="0"/>
    <n v="45"/>
    <n v="0"/>
    <m/>
    <n v="0"/>
    <n v="1"/>
    <n v="788"/>
    <n v="24"/>
    <x v="2"/>
    <n v="1"/>
    <n v="2"/>
    <n v="36"/>
    <n v="3"/>
    <n v="1"/>
    <n v="3"/>
    <n v="2177"/>
    <n v="8318"/>
    <n v="1"/>
    <n v="16"/>
    <n v="3"/>
    <n v="1"/>
    <n v="80"/>
    <n v="0"/>
    <n v="6"/>
    <n v="3"/>
    <n v="6"/>
    <n v="3"/>
    <n v="0"/>
    <n v="4"/>
  </r>
  <r>
    <s v="No"/>
    <s v="Travel_Frequently"/>
    <x v="1"/>
    <s v="Current Employees"/>
    <x v="0"/>
    <x v="3"/>
    <s v="STAFF-1050"/>
    <n v="1050"/>
    <x v="0"/>
    <x v="0"/>
    <x v="1"/>
    <s v="No"/>
    <s v="Y"/>
    <n v="2"/>
    <n v="-2"/>
    <n v="0"/>
    <n v="53"/>
    <n v="0"/>
    <m/>
    <n v="0"/>
    <n v="1"/>
    <n v="124"/>
    <n v="2"/>
    <x v="3"/>
    <n v="1"/>
    <n v="3"/>
    <n v="38"/>
    <n v="2"/>
    <n v="3"/>
    <n v="2"/>
    <n v="7525"/>
    <n v="23537"/>
    <n v="2"/>
    <n v="12"/>
    <n v="3"/>
    <n v="1"/>
    <n v="80"/>
    <n v="1"/>
    <n v="30"/>
    <n v="3"/>
    <n v="15"/>
    <n v="7"/>
    <n v="6"/>
    <n v="12"/>
  </r>
  <r>
    <s v="Yes"/>
    <s v="Travel_Rarely"/>
    <x v="0"/>
    <s v="Ex-Employees"/>
    <x v="1"/>
    <x v="1"/>
    <s v="STAFF-1052"/>
    <n v="1052"/>
    <x v="1"/>
    <x v="2"/>
    <x v="2"/>
    <s v="No"/>
    <s v="Y"/>
    <n v="3"/>
    <n v="-2"/>
    <n v="0"/>
    <n v="36"/>
    <n v="1"/>
    <n v="1"/>
    <n v="1"/>
    <n v="0"/>
    <n v="660"/>
    <n v="15"/>
    <x v="3"/>
    <n v="1"/>
    <n v="1"/>
    <n v="81"/>
    <n v="3"/>
    <n v="2"/>
    <n v="3"/>
    <n v="4834"/>
    <n v="7858"/>
    <n v="7"/>
    <n v="14"/>
    <n v="3"/>
    <n v="2"/>
    <n v="80"/>
    <n v="1"/>
    <n v="9"/>
    <n v="2"/>
    <n v="1"/>
    <n v="0"/>
    <n v="0"/>
    <n v="0"/>
  </r>
  <r>
    <s v="Yes"/>
    <s v="Travel_Frequently"/>
    <x v="2"/>
    <s v="Ex-Employees"/>
    <x v="1"/>
    <x v="0"/>
    <s v="STAFF-1053"/>
    <n v="1053"/>
    <x v="1"/>
    <x v="1"/>
    <x v="1"/>
    <s v="Yes"/>
    <s v="Y"/>
    <n v="2"/>
    <n v="-2"/>
    <n v="0"/>
    <n v="26"/>
    <n v="1"/>
    <n v="1"/>
    <n v="1"/>
    <n v="0"/>
    <n v="342"/>
    <n v="2"/>
    <x v="3"/>
    <n v="1"/>
    <n v="1"/>
    <n v="57"/>
    <n v="3"/>
    <n v="1"/>
    <n v="1"/>
    <n v="2042"/>
    <n v="15346"/>
    <n v="6"/>
    <n v="14"/>
    <n v="3"/>
    <n v="2"/>
    <n v="80"/>
    <n v="1"/>
    <n v="6"/>
    <n v="3"/>
    <n v="3"/>
    <n v="2"/>
    <n v="1"/>
    <n v="2"/>
  </r>
  <r>
    <s v="No"/>
    <s v="Travel_Rarely"/>
    <x v="2"/>
    <s v="Current Employees"/>
    <x v="0"/>
    <x v="0"/>
    <s v="STAFF-1055"/>
    <n v="1055"/>
    <x v="0"/>
    <x v="6"/>
    <x v="1"/>
    <s v="Yes"/>
    <s v="Y"/>
    <n v="2"/>
    <n v="-2"/>
    <n v="0"/>
    <n v="34"/>
    <n v="0"/>
    <m/>
    <n v="0"/>
    <n v="1"/>
    <n v="1333"/>
    <n v="10"/>
    <x v="2"/>
    <n v="1"/>
    <n v="3"/>
    <n v="87"/>
    <n v="3"/>
    <n v="1"/>
    <n v="1"/>
    <n v="2220"/>
    <n v="18410"/>
    <n v="1"/>
    <n v="19"/>
    <n v="3"/>
    <n v="4"/>
    <n v="80"/>
    <n v="1"/>
    <n v="1"/>
    <n v="3"/>
    <n v="1"/>
    <n v="1"/>
    <n v="0"/>
    <n v="0"/>
  </r>
  <r>
    <s v="No"/>
    <s v="Travel_Rarely"/>
    <x v="2"/>
    <s v="Current Employees"/>
    <x v="0"/>
    <x v="2"/>
    <s v="STAFF-1056"/>
    <n v="1056"/>
    <x v="1"/>
    <x v="6"/>
    <x v="1"/>
    <s v="No"/>
    <s v="Y"/>
    <n v="5"/>
    <n v="-2"/>
    <n v="0"/>
    <n v="28"/>
    <n v="0"/>
    <m/>
    <n v="0"/>
    <n v="1"/>
    <n v="1144"/>
    <n v="10"/>
    <x v="1"/>
    <n v="1"/>
    <n v="4"/>
    <n v="74"/>
    <n v="3"/>
    <n v="1"/>
    <n v="3"/>
    <n v="1052"/>
    <n v="23384"/>
    <n v="1"/>
    <n v="22"/>
    <n v="4"/>
    <n v="2"/>
    <n v="80"/>
    <n v="0"/>
    <n v="1"/>
    <n v="3"/>
    <n v="1"/>
    <n v="0"/>
    <n v="0"/>
    <n v="0"/>
  </r>
  <r>
    <s v="No"/>
    <s v="Travel_Frequently"/>
    <x v="0"/>
    <s v="Current Employees"/>
    <x v="1"/>
    <x v="1"/>
    <s v="STAFF-1060"/>
    <n v="1060"/>
    <x v="1"/>
    <x v="1"/>
    <x v="1"/>
    <s v="No"/>
    <s v="Y"/>
    <n v="2"/>
    <n v="-2"/>
    <n v="0"/>
    <n v="38"/>
    <n v="0"/>
    <m/>
    <n v="0"/>
    <n v="1"/>
    <n v="1186"/>
    <n v="3"/>
    <x v="2"/>
    <n v="1"/>
    <n v="3"/>
    <n v="44"/>
    <n v="3"/>
    <n v="1"/>
    <n v="3"/>
    <n v="2821"/>
    <n v="2997"/>
    <n v="3"/>
    <n v="16"/>
    <n v="3"/>
    <n v="1"/>
    <n v="80"/>
    <n v="1"/>
    <n v="8"/>
    <n v="3"/>
    <n v="2"/>
    <n v="2"/>
    <n v="2"/>
    <n v="2"/>
  </r>
  <r>
    <s v="No"/>
    <s v="Travel_Rarely"/>
    <x v="1"/>
    <s v="Current Employees"/>
    <x v="1"/>
    <x v="2"/>
    <s v="STAFF-1061"/>
    <n v="1061"/>
    <x v="1"/>
    <x v="7"/>
    <x v="1"/>
    <s v="Yes"/>
    <s v="Y"/>
    <n v="2"/>
    <n v="-2"/>
    <n v="0"/>
    <n v="50"/>
    <n v="0"/>
    <m/>
    <n v="0"/>
    <n v="1"/>
    <n v="1464"/>
    <n v="2"/>
    <x v="2"/>
    <n v="1"/>
    <n v="2"/>
    <n v="62"/>
    <n v="3"/>
    <n v="5"/>
    <n v="3"/>
    <n v="19237"/>
    <n v="12853"/>
    <n v="2"/>
    <n v="11"/>
    <n v="3"/>
    <n v="4"/>
    <n v="80"/>
    <n v="1"/>
    <n v="29"/>
    <n v="2"/>
    <n v="8"/>
    <n v="1"/>
    <n v="7"/>
    <n v="7"/>
  </r>
  <r>
    <s v="No"/>
    <s v="Travel_Rarely"/>
    <x v="0"/>
    <s v="Current Employees"/>
    <x v="1"/>
    <x v="1"/>
    <s v="STAFF-1062"/>
    <n v="1062"/>
    <x v="0"/>
    <x v="4"/>
    <x v="0"/>
    <s v="No"/>
    <s v="Y"/>
    <n v="3"/>
    <n v="-2"/>
    <n v="0"/>
    <n v="37"/>
    <n v="0"/>
    <m/>
    <n v="0"/>
    <n v="1"/>
    <n v="124"/>
    <n v="3"/>
    <x v="3"/>
    <n v="1"/>
    <n v="4"/>
    <n v="35"/>
    <n v="3"/>
    <n v="2"/>
    <n v="3"/>
    <n v="4107"/>
    <n v="13848"/>
    <n v="3"/>
    <n v="15"/>
    <n v="3"/>
    <n v="1"/>
    <n v="80"/>
    <n v="0"/>
    <n v="8"/>
    <n v="2"/>
    <n v="4"/>
    <n v="3"/>
    <n v="0"/>
    <n v="1"/>
  </r>
  <r>
    <s v="No"/>
    <s v="Travel_Rarely"/>
    <x v="0"/>
    <s v="Current Employees"/>
    <x v="0"/>
    <x v="3"/>
    <s v="STAFF-1066"/>
    <n v="1066"/>
    <x v="1"/>
    <x v="0"/>
    <x v="1"/>
    <s v="No"/>
    <s v="Y"/>
    <n v="3"/>
    <n v="-2"/>
    <n v="0"/>
    <n v="40"/>
    <n v="0"/>
    <m/>
    <n v="0"/>
    <n v="1"/>
    <n v="300"/>
    <n v="26"/>
    <x v="3"/>
    <n v="1"/>
    <n v="3"/>
    <n v="74"/>
    <n v="3"/>
    <n v="2"/>
    <n v="2"/>
    <n v="8396"/>
    <n v="22217"/>
    <n v="1"/>
    <n v="14"/>
    <n v="3"/>
    <n v="2"/>
    <n v="80"/>
    <n v="1"/>
    <n v="8"/>
    <n v="2"/>
    <n v="7"/>
    <n v="7"/>
    <n v="7"/>
    <n v="5"/>
  </r>
  <r>
    <s v="No"/>
    <s v="Travel_Frequently"/>
    <x v="2"/>
    <s v="Current Employees"/>
    <x v="1"/>
    <x v="2"/>
    <s v="STAFF-1068"/>
    <n v="1068"/>
    <x v="0"/>
    <x v="1"/>
    <x v="2"/>
    <s v="No"/>
    <s v="Y"/>
    <n v="5"/>
    <n v="-2"/>
    <n v="0"/>
    <n v="26"/>
    <n v="0"/>
    <m/>
    <n v="0"/>
    <n v="1"/>
    <n v="921"/>
    <n v="1"/>
    <x v="1"/>
    <n v="1"/>
    <n v="1"/>
    <n v="66"/>
    <n v="2"/>
    <n v="1"/>
    <n v="3"/>
    <n v="2007"/>
    <n v="25265"/>
    <n v="1"/>
    <n v="13"/>
    <n v="3"/>
    <n v="3"/>
    <n v="80"/>
    <n v="2"/>
    <n v="5"/>
    <n v="3"/>
    <n v="5"/>
    <n v="3"/>
    <n v="1"/>
    <n v="3"/>
  </r>
  <r>
    <s v="No"/>
    <s v="Travel_Rarely"/>
    <x v="1"/>
    <s v="Current Employees"/>
    <x v="1"/>
    <x v="2"/>
    <s v="STAFF-1069"/>
    <n v="1069"/>
    <x v="1"/>
    <x v="7"/>
    <x v="2"/>
    <s v="No"/>
    <s v="Y"/>
    <n v="0"/>
    <n v="-2"/>
    <n v="0"/>
    <n v="46"/>
    <n v="0"/>
    <m/>
    <n v="0"/>
    <n v="1"/>
    <n v="430"/>
    <n v="1"/>
    <x v="2"/>
    <n v="1"/>
    <n v="4"/>
    <n v="40"/>
    <n v="3"/>
    <n v="5"/>
    <n v="4"/>
    <n v="19627"/>
    <n v="21445"/>
    <n v="9"/>
    <n v="17"/>
    <n v="3"/>
    <n v="4"/>
    <n v="80"/>
    <n v="2"/>
    <n v="23"/>
    <n v="3"/>
    <n v="2"/>
    <n v="2"/>
    <n v="2"/>
    <n v="2"/>
  </r>
  <r>
    <s v="No"/>
    <s v="Travel_Rarely"/>
    <x v="1"/>
    <s v="Current Employees"/>
    <x v="0"/>
    <x v="0"/>
    <s v="STAFF-1070"/>
    <n v="1070"/>
    <x v="0"/>
    <x v="0"/>
    <x v="1"/>
    <s v="No"/>
    <s v="Y"/>
    <n v="4"/>
    <n v="-2"/>
    <n v="0"/>
    <n v="54"/>
    <n v="0"/>
    <m/>
    <n v="0"/>
    <n v="1"/>
    <n v="1082"/>
    <n v="2"/>
    <x v="2"/>
    <n v="1"/>
    <n v="3"/>
    <n v="41"/>
    <n v="2"/>
    <n v="3"/>
    <n v="1"/>
    <n v="10686"/>
    <n v="8392"/>
    <n v="6"/>
    <n v="11"/>
    <n v="3"/>
    <n v="2"/>
    <n v="80"/>
    <n v="1"/>
    <n v="13"/>
    <n v="3"/>
    <n v="9"/>
    <n v="4"/>
    <n v="7"/>
    <n v="0"/>
  </r>
  <r>
    <s v="No"/>
    <s v="Travel_Frequently"/>
    <x v="3"/>
    <s v="Current Employees"/>
    <x v="1"/>
    <x v="2"/>
    <s v="STAFF-1071"/>
    <n v="1071"/>
    <x v="0"/>
    <x v="1"/>
    <x v="1"/>
    <s v="No"/>
    <s v="Y"/>
    <n v="4"/>
    <n v="-2"/>
    <n v="0"/>
    <n v="56"/>
    <n v="0"/>
    <m/>
    <n v="0"/>
    <n v="1"/>
    <n v="1240"/>
    <n v="9"/>
    <x v="3"/>
    <n v="1"/>
    <n v="1"/>
    <n v="63"/>
    <n v="3"/>
    <n v="1"/>
    <n v="3"/>
    <n v="2942"/>
    <n v="12154"/>
    <n v="2"/>
    <n v="19"/>
    <n v="3"/>
    <n v="2"/>
    <n v="80"/>
    <n v="1"/>
    <n v="18"/>
    <n v="3"/>
    <n v="5"/>
    <n v="4"/>
    <n v="0"/>
    <n v="3"/>
  </r>
  <r>
    <s v="No"/>
    <s v="Travel_Rarely"/>
    <x v="0"/>
    <s v="Current Employees"/>
    <x v="1"/>
    <x v="2"/>
    <s v="STAFF-1073"/>
    <n v="1073"/>
    <x v="0"/>
    <x v="3"/>
    <x v="0"/>
    <s v="No"/>
    <s v="Y"/>
    <n v="2"/>
    <n v="-2"/>
    <n v="0"/>
    <n v="36"/>
    <n v="0"/>
    <m/>
    <n v="0"/>
    <n v="1"/>
    <n v="796"/>
    <n v="12"/>
    <x v="4"/>
    <n v="1"/>
    <n v="4"/>
    <n v="51"/>
    <n v="2"/>
    <n v="3"/>
    <n v="4"/>
    <n v="8858"/>
    <n v="15669"/>
    <n v="0"/>
    <n v="11"/>
    <n v="3"/>
    <n v="2"/>
    <n v="80"/>
    <n v="0"/>
    <n v="15"/>
    <n v="2"/>
    <n v="14"/>
    <n v="8"/>
    <n v="7"/>
    <n v="8"/>
  </r>
  <r>
    <s v="No"/>
    <s v="Non-Travel"/>
    <x v="3"/>
    <s v="Current Employees"/>
    <x v="1"/>
    <x v="2"/>
    <s v="STAFF-1074"/>
    <n v="1074"/>
    <x v="1"/>
    <x v="5"/>
    <x v="0"/>
    <s v="No"/>
    <s v="Y"/>
    <n v="3"/>
    <n v="-2"/>
    <n v="0"/>
    <n v="55"/>
    <n v="0"/>
    <m/>
    <n v="0"/>
    <n v="1"/>
    <n v="444"/>
    <n v="2"/>
    <x v="1"/>
    <n v="1"/>
    <n v="3"/>
    <n v="40"/>
    <n v="2"/>
    <n v="4"/>
    <n v="3"/>
    <n v="16756"/>
    <n v="17323"/>
    <n v="7"/>
    <n v="15"/>
    <n v="3"/>
    <n v="2"/>
    <n v="80"/>
    <n v="0"/>
    <n v="31"/>
    <n v="4"/>
    <n v="9"/>
    <n v="7"/>
    <n v="6"/>
    <n v="2"/>
  </r>
  <r>
    <s v="No"/>
    <s v="Travel_Rarely"/>
    <x v="0"/>
    <s v="Current Employees"/>
    <x v="0"/>
    <x v="2"/>
    <s v="STAFF-1076"/>
    <n v="1076"/>
    <x v="1"/>
    <x v="0"/>
    <x v="2"/>
    <s v="No"/>
    <s v="Y"/>
    <n v="5"/>
    <n v="-2"/>
    <n v="0"/>
    <n v="43"/>
    <n v="0"/>
    <m/>
    <n v="0"/>
    <n v="1"/>
    <n v="415"/>
    <n v="25"/>
    <x v="3"/>
    <n v="1"/>
    <n v="3"/>
    <n v="79"/>
    <n v="2"/>
    <n v="3"/>
    <n v="4"/>
    <n v="10798"/>
    <n v="5268"/>
    <n v="5"/>
    <n v="13"/>
    <n v="3"/>
    <n v="3"/>
    <n v="80"/>
    <n v="1"/>
    <n v="18"/>
    <n v="3"/>
    <n v="1"/>
    <n v="0"/>
    <n v="0"/>
    <n v="0"/>
  </r>
  <r>
    <s v="Yes"/>
    <s v="Travel_Frequently"/>
    <x v="4"/>
    <s v="Ex-Employees"/>
    <x v="0"/>
    <x v="3"/>
    <s v="STAFF-1077"/>
    <n v="1077"/>
    <x v="0"/>
    <x v="6"/>
    <x v="0"/>
    <s v="Yes"/>
    <s v="Y"/>
    <n v="3"/>
    <n v="-2"/>
    <n v="0"/>
    <n v="20"/>
    <n v="1"/>
    <n v="1"/>
    <n v="1"/>
    <n v="0"/>
    <n v="769"/>
    <n v="9"/>
    <x v="3"/>
    <n v="1"/>
    <n v="4"/>
    <n v="54"/>
    <n v="3"/>
    <n v="1"/>
    <n v="2"/>
    <n v="2323"/>
    <n v="17205"/>
    <n v="1"/>
    <n v="14"/>
    <n v="3"/>
    <n v="2"/>
    <n v="80"/>
    <n v="0"/>
    <n v="2"/>
    <n v="3"/>
    <n v="2"/>
    <n v="2"/>
    <n v="0"/>
    <n v="2"/>
  </r>
  <r>
    <s v="Yes"/>
    <s v="Travel_Rarely"/>
    <x v="4"/>
    <s v="Ex-Employees"/>
    <x v="1"/>
    <x v="0"/>
    <s v="STAFF-1079"/>
    <n v="1079"/>
    <x v="0"/>
    <x v="2"/>
    <x v="0"/>
    <s v="No"/>
    <s v="Y"/>
    <n v="6"/>
    <n v="-2"/>
    <n v="0"/>
    <n v="21"/>
    <n v="1"/>
    <n v="1"/>
    <n v="1"/>
    <n v="0"/>
    <n v="1334"/>
    <n v="10"/>
    <x v="3"/>
    <n v="1"/>
    <n v="3"/>
    <n v="36"/>
    <n v="2"/>
    <n v="1"/>
    <n v="1"/>
    <n v="1416"/>
    <n v="17258"/>
    <n v="1"/>
    <n v="13"/>
    <n v="3"/>
    <n v="1"/>
    <n v="80"/>
    <n v="0"/>
    <n v="1"/>
    <n v="2"/>
    <n v="1"/>
    <n v="0"/>
    <n v="1"/>
    <n v="0"/>
  </r>
  <r>
    <s v="No"/>
    <s v="Travel_Rarely"/>
    <x v="1"/>
    <s v="Current Employees"/>
    <x v="1"/>
    <x v="0"/>
    <s v="STAFF-1080"/>
    <n v="1080"/>
    <x v="0"/>
    <x v="1"/>
    <x v="2"/>
    <s v="Yes"/>
    <s v="Y"/>
    <n v="2"/>
    <n v="-2"/>
    <n v="0"/>
    <n v="46"/>
    <n v="0"/>
    <m/>
    <n v="0"/>
    <n v="1"/>
    <n v="1003"/>
    <n v="8"/>
    <x v="2"/>
    <n v="1"/>
    <n v="4"/>
    <n v="74"/>
    <n v="2"/>
    <n v="2"/>
    <n v="1"/>
    <n v="4615"/>
    <n v="21029"/>
    <n v="8"/>
    <n v="23"/>
    <n v="4"/>
    <n v="1"/>
    <n v="80"/>
    <n v="3"/>
    <n v="19"/>
    <n v="3"/>
    <n v="16"/>
    <n v="13"/>
    <n v="1"/>
    <n v="7"/>
  </r>
  <r>
    <s v="Yes"/>
    <s v="Travel_Rarely"/>
    <x v="1"/>
    <s v="Ex-Employees"/>
    <x v="1"/>
    <x v="0"/>
    <s v="STAFF-1081"/>
    <n v="1081"/>
    <x v="1"/>
    <x v="1"/>
    <x v="1"/>
    <s v="Yes"/>
    <s v="Y"/>
    <n v="2"/>
    <n v="-2"/>
    <n v="0"/>
    <n v="51"/>
    <n v="1"/>
    <n v="1"/>
    <n v="1"/>
    <n v="0"/>
    <n v="1323"/>
    <n v="4"/>
    <x v="2"/>
    <n v="1"/>
    <n v="1"/>
    <n v="34"/>
    <n v="3"/>
    <n v="1"/>
    <n v="1"/>
    <n v="2461"/>
    <n v="10332"/>
    <n v="9"/>
    <n v="12"/>
    <n v="3"/>
    <n v="3"/>
    <n v="80"/>
    <n v="3"/>
    <n v="18"/>
    <n v="4"/>
    <n v="10"/>
    <n v="0"/>
    <n v="2"/>
    <n v="7"/>
  </r>
  <r>
    <s v="Yes"/>
    <s v="Non-Travel"/>
    <x v="2"/>
    <s v="Ex-Employees"/>
    <x v="1"/>
    <x v="4"/>
    <s v="STAFF-1082"/>
    <n v="1082"/>
    <x v="1"/>
    <x v="4"/>
    <x v="0"/>
    <s v="No"/>
    <s v="Y"/>
    <n v="2"/>
    <n v="-2"/>
    <n v="0"/>
    <n v="28"/>
    <n v="1"/>
    <n v="1"/>
    <n v="1"/>
    <n v="0"/>
    <n v="1366"/>
    <n v="24"/>
    <x v="0"/>
    <n v="1"/>
    <n v="4"/>
    <n v="72"/>
    <n v="2"/>
    <n v="3"/>
    <n v="4"/>
    <n v="8722"/>
    <n v="12355"/>
    <n v="1"/>
    <n v="12"/>
    <n v="3"/>
    <n v="1"/>
    <n v="80"/>
    <n v="0"/>
    <n v="10"/>
    <n v="2"/>
    <n v="10"/>
    <n v="7"/>
    <n v="1"/>
    <n v="9"/>
  </r>
  <r>
    <s v="No"/>
    <s v="Travel_Rarely"/>
    <x v="2"/>
    <s v="Current Employees"/>
    <x v="1"/>
    <x v="2"/>
    <s v="STAFF-1083"/>
    <n v="1083"/>
    <x v="1"/>
    <x v="2"/>
    <x v="1"/>
    <s v="No"/>
    <s v="Y"/>
    <n v="2"/>
    <n v="-2"/>
    <n v="0"/>
    <n v="26"/>
    <n v="0"/>
    <m/>
    <n v="0"/>
    <n v="1"/>
    <n v="192"/>
    <n v="1"/>
    <x v="0"/>
    <n v="1"/>
    <n v="1"/>
    <n v="59"/>
    <n v="2"/>
    <n v="1"/>
    <n v="3"/>
    <n v="3955"/>
    <n v="11141"/>
    <n v="1"/>
    <n v="16"/>
    <n v="3"/>
    <n v="1"/>
    <n v="80"/>
    <n v="2"/>
    <n v="6"/>
    <n v="3"/>
    <n v="5"/>
    <n v="3"/>
    <n v="1"/>
    <n v="3"/>
  </r>
  <r>
    <s v="No"/>
    <s v="Travel_Rarely"/>
    <x v="2"/>
    <s v="Current Employees"/>
    <x v="1"/>
    <x v="1"/>
    <s v="STAFF-1084"/>
    <n v="1084"/>
    <x v="1"/>
    <x v="3"/>
    <x v="1"/>
    <s v="No"/>
    <s v="Y"/>
    <n v="1"/>
    <n v="-2"/>
    <n v="0"/>
    <n v="30"/>
    <n v="0"/>
    <m/>
    <n v="0"/>
    <n v="1"/>
    <n v="1176"/>
    <n v="20"/>
    <x v="3"/>
    <n v="1"/>
    <n v="3"/>
    <n v="85"/>
    <n v="3"/>
    <n v="2"/>
    <n v="3"/>
    <n v="9957"/>
    <n v="9096"/>
    <n v="0"/>
    <n v="15"/>
    <n v="3"/>
    <n v="3"/>
    <n v="80"/>
    <n v="1"/>
    <n v="7"/>
    <n v="2"/>
    <n v="6"/>
    <n v="2"/>
    <n v="0"/>
    <n v="2"/>
  </r>
  <r>
    <s v="No"/>
    <s v="Travel_Rarely"/>
    <x v="0"/>
    <s v="Current Employees"/>
    <x v="1"/>
    <x v="4"/>
    <s v="STAFF-1085"/>
    <n v="1085"/>
    <x v="0"/>
    <x v="1"/>
    <x v="1"/>
    <s v="No"/>
    <s v="Y"/>
    <n v="3"/>
    <n v="-2"/>
    <n v="0"/>
    <n v="41"/>
    <n v="0"/>
    <m/>
    <n v="0"/>
    <n v="1"/>
    <n v="509"/>
    <n v="7"/>
    <x v="0"/>
    <n v="1"/>
    <n v="4"/>
    <n v="43"/>
    <n v="4"/>
    <n v="1"/>
    <n v="4"/>
    <n v="3376"/>
    <n v="18863"/>
    <n v="1"/>
    <n v="13"/>
    <n v="3"/>
    <n v="3"/>
    <n v="80"/>
    <n v="0"/>
    <n v="10"/>
    <n v="3"/>
    <n v="10"/>
    <n v="6"/>
    <n v="0"/>
    <n v="8"/>
  </r>
  <r>
    <s v="No"/>
    <s v="Travel_Rarely"/>
    <x v="0"/>
    <s v="Current Employees"/>
    <x v="1"/>
    <x v="0"/>
    <s v="STAFF-1088"/>
    <n v="1088"/>
    <x v="0"/>
    <x v="4"/>
    <x v="1"/>
    <s v="No"/>
    <s v="Y"/>
    <n v="4"/>
    <n v="-2"/>
    <n v="0"/>
    <n v="38"/>
    <n v="0"/>
    <m/>
    <n v="0"/>
    <n v="1"/>
    <n v="330"/>
    <n v="17"/>
    <x v="1"/>
    <n v="1"/>
    <n v="3"/>
    <n v="65"/>
    <n v="2"/>
    <n v="3"/>
    <n v="1"/>
    <n v="8823"/>
    <n v="24608"/>
    <n v="0"/>
    <n v="18"/>
    <n v="3"/>
    <n v="1"/>
    <n v="80"/>
    <n v="1"/>
    <n v="20"/>
    <n v="2"/>
    <n v="19"/>
    <n v="9"/>
    <n v="1"/>
    <n v="9"/>
  </r>
  <r>
    <s v="No"/>
    <s v="Travel_Rarely"/>
    <x v="0"/>
    <s v="Current Employees"/>
    <x v="1"/>
    <x v="4"/>
    <s v="STAFF-1092"/>
    <n v="1092"/>
    <x v="1"/>
    <x v="4"/>
    <x v="1"/>
    <s v="No"/>
    <s v="Y"/>
    <n v="6"/>
    <n v="-2"/>
    <n v="0"/>
    <n v="40"/>
    <n v="0"/>
    <m/>
    <n v="0"/>
    <n v="1"/>
    <n v="1492"/>
    <n v="20"/>
    <x v="2"/>
    <n v="1"/>
    <n v="4"/>
    <n v="61"/>
    <n v="3"/>
    <n v="3"/>
    <n v="4"/>
    <n v="10322"/>
    <n v="26542"/>
    <n v="4"/>
    <n v="20"/>
    <n v="4"/>
    <n v="4"/>
    <n v="80"/>
    <n v="1"/>
    <n v="14"/>
    <n v="3"/>
    <n v="11"/>
    <n v="10"/>
    <n v="11"/>
    <n v="1"/>
  </r>
  <r>
    <s v="No"/>
    <s v="Non-Travel"/>
    <x v="2"/>
    <s v="Current Employees"/>
    <x v="1"/>
    <x v="0"/>
    <s v="STAFF-1094"/>
    <n v="1094"/>
    <x v="1"/>
    <x v="2"/>
    <x v="1"/>
    <s v="No"/>
    <s v="Y"/>
    <n v="4"/>
    <n v="-2"/>
    <n v="0"/>
    <n v="27"/>
    <n v="0"/>
    <m/>
    <n v="0"/>
    <n v="1"/>
    <n v="1277"/>
    <n v="8"/>
    <x v="4"/>
    <n v="1"/>
    <n v="1"/>
    <n v="87"/>
    <n v="1"/>
    <n v="1"/>
    <n v="1"/>
    <n v="4621"/>
    <n v="5869"/>
    <n v="1"/>
    <n v="19"/>
    <n v="3"/>
    <n v="4"/>
    <n v="80"/>
    <n v="3"/>
    <n v="3"/>
    <n v="3"/>
    <n v="3"/>
    <n v="2"/>
    <n v="1"/>
    <n v="2"/>
  </r>
  <r>
    <s v="No"/>
    <s v="Travel_Frequently"/>
    <x v="3"/>
    <s v="Current Employees"/>
    <x v="1"/>
    <x v="0"/>
    <s v="STAFF-1096"/>
    <n v="1096"/>
    <x v="1"/>
    <x v="3"/>
    <x v="1"/>
    <s v="No"/>
    <s v="Y"/>
    <n v="4"/>
    <n v="-2"/>
    <n v="0"/>
    <n v="55"/>
    <n v="0"/>
    <m/>
    <n v="0"/>
    <n v="1"/>
    <n v="1091"/>
    <n v="2"/>
    <x v="1"/>
    <n v="1"/>
    <n v="4"/>
    <n v="65"/>
    <n v="3"/>
    <n v="3"/>
    <n v="1"/>
    <n v="10976"/>
    <n v="15813"/>
    <n v="3"/>
    <n v="18"/>
    <n v="3"/>
    <n v="2"/>
    <n v="80"/>
    <n v="1"/>
    <n v="23"/>
    <n v="3"/>
    <n v="3"/>
    <n v="2"/>
    <n v="1"/>
    <n v="2"/>
  </r>
  <r>
    <s v="No"/>
    <s v="Travel_Rarely"/>
    <x v="2"/>
    <s v="Current Employees"/>
    <x v="1"/>
    <x v="1"/>
    <s v="STAFF-1097"/>
    <n v="1097"/>
    <x v="0"/>
    <x v="1"/>
    <x v="0"/>
    <s v="No"/>
    <s v="Y"/>
    <n v="4"/>
    <n v="-2"/>
    <n v="0"/>
    <n v="28"/>
    <n v="0"/>
    <m/>
    <n v="0"/>
    <n v="1"/>
    <n v="857"/>
    <n v="10"/>
    <x v="3"/>
    <n v="1"/>
    <n v="3"/>
    <n v="59"/>
    <n v="3"/>
    <n v="2"/>
    <n v="3"/>
    <n v="3660"/>
    <n v="7909"/>
    <n v="3"/>
    <n v="13"/>
    <n v="3"/>
    <n v="4"/>
    <n v="80"/>
    <n v="0"/>
    <n v="10"/>
    <n v="4"/>
    <n v="8"/>
    <n v="7"/>
    <n v="1"/>
    <n v="7"/>
  </r>
  <r>
    <s v="Yes"/>
    <s v="Travel_Rarely"/>
    <x v="0"/>
    <s v="Ex-Employees"/>
    <x v="2"/>
    <x v="2"/>
    <s v="STAFF-1098"/>
    <n v="1098"/>
    <x v="1"/>
    <x v="8"/>
    <x v="1"/>
    <s v="No"/>
    <s v="Y"/>
    <n v="1"/>
    <n v="-2"/>
    <n v="0"/>
    <n v="44"/>
    <n v="1"/>
    <n v="1"/>
    <n v="1"/>
    <n v="0"/>
    <n v="1376"/>
    <n v="1"/>
    <x v="0"/>
    <n v="1"/>
    <n v="2"/>
    <n v="91"/>
    <n v="2"/>
    <n v="3"/>
    <n v="3"/>
    <n v="10482"/>
    <n v="2326"/>
    <n v="9"/>
    <n v="14"/>
    <n v="3"/>
    <n v="4"/>
    <n v="80"/>
    <n v="1"/>
    <n v="24"/>
    <n v="3"/>
    <n v="20"/>
    <n v="6"/>
    <n v="3"/>
    <n v="6"/>
  </r>
  <r>
    <s v="No"/>
    <s v="Travel_Rarely"/>
    <x v="2"/>
    <s v="Current Employees"/>
    <x v="1"/>
    <x v="0"/>
    <s v="STAFF-1099"/>
    <n v="1099"/>
    <x v="1"/>
    <x v="4"/>
    <x v="2"/>
    <s v="No"/>
    <s v="Y"/>
    <n v="2"/>
    <n v="-2"/>
    <n v="0"/>
    <n v="33"/>
    <n v="0"/>
    <m/>
    <n v="0"/>
    <n v="1"/>
    <n v="654"/>
    <n v="5"/>
    <x v="3"/>
    <n v="1"/>
    <n v="4"/>
    <n v="34"/>
    <n v="2"/>
    <n v="3"/>
    <n v="1"/>
    <n v="7119"/>
    <n v="21214"/>
    <n v="4"/>
    <n v="15"/>
    <n v="3"/>
    <n v="3"/>
    <n v="80"/>
    <n v="1"/>
    <n v="9"/>
    <n v="3"/>
    <n v="3"/>
    <n v="2"/>
    <n v="1"/>
    <n v="2"/>
  </r>
  <r>
    <s v="Yes"/>
    <s v="Travel_Rarely"/>
    <x v="0"/>
    <s v="Ex-Employees"/>
    <x v="0"/>
    <x v="4"/>
    <s v="STAFF-1100"/>
    <n v="1100"/>
    <x v="1"/>
    <x v="0"/>
    <x v="0"/>
    <s v="Yes"/>
    <s v="Y"/>
    <n v="2"/>
    <n v="-2"/>
    <n v="0"/>
    <n v="35"/>
    <n v="1"/>
    <n v="1"/>
    <n v="1"/>
    <n v="0"/>
    <n v="1204"/>
    <n v="4"/>
    <x v="3"/>
    <n v="1"/>
    <n v="4"/>
    <n v="86"/>
    <n v="3"/>
    <n v="3"/>
    <n v="4"/>
    <n v="9582"/>
    <n v="10333"/>
    <n v="0"/>
    <n v="22"/>
    <n v="4"/>
    <n v="1"/>
    <n v="80"/>
    <n v="0"/>
    <n v="9"/>
    <n v="3"/>
    <n v="8"/>
    <n v="7"/>
    <n v="4"/>
    <n v="7"/>
  </r>
  <r>
    <s v="Yes"/>
    <s v="Travel_Frequently"/>
    <x v="2"/>
    <s v="Ex-Employees"/>
    <x v="1"/>
    <x v="2"/>
    <s v="STAFF-1101"/>
    <n v="1101"/>
    <x v="0"/>
    <x v="1"/>
    <x v="0"/>
    <s v="No"/>
    <s v="Y"/>
    <n v="4"/>
    <n v="-2"/>
    <n v="0"/>
    <n v="33"/>
    <n v="1"/>
    <n v="1"/>
    <n v="1"/>
    <n v="0"/>
    <n v="827"/>
    <n v="29"/>
    <x v="2"/>
    <n v="1"/>
    <n v="1"/>
    <n v="54"/>
    <n v="2"/>
    <n v="2"/>
    <n v="3"/>
    <n v="4508"/>
    <n v="3129"/>
    <n v="1"/>
    <n v="22"/>
    <n v="4"/>
    <n v="2"/>
    <n v="80"/>
    <n v="0"/>
    <n v="14"/>
    <n v="3"/>
    <n v="13"/>
    <n v="7"/>
    <n v="3"/>
    <n v="8"/>
  </r>
  <r>
    <s v="No"/>
    <s v="Travel_Rarely"/>
    <x v="2"/>
    <s v="Current Employees"/>
    <x v="1"/>
    <x v="0"/>
    <s v="STAFF-1102"/>
    <n v="1102"/>
    <x v="1"/>
    <x v="2"/>
    <x v="2"/>
    <s v="No"/>
    <s v="Y"/>
    <n v="5"/>
    <n v="-2"/>
    <n v="0"/>
    <n v="28"/>
    <n v="0"/>
    <m/>
    <n v="0"/>
    <n v="1"/>
    <n v="895"/>
    <n v="15"/>
    <x v="0"/>
    <n v="1"/>
    <n v="1"/>
    <n v="50"/>
    <n v="3"/>
    <n v="1"/>
    <n v="1"/>
    <n v="2207"/>
    <n v="22482"/>
    <n v="1"/>
    <n v="16"/>
    <n v="3"/>
    <n v="4"/>
    <n v="80"/>
    <n v="1"/>
    <n v="4"/>
    <n v="2"/>
    <n v="4"/>
    <n v="2"/>
    <n v="2"/>
    <n v="2"/>
  </r>
  <r>
    <s v="No"/>
    <s v="Travel_Frequently"/>
    <x v="2"/>
    <s v="Current Employees"/>
    <x v="1"/>
    <x v="0"/>
    <s v="STAFF-1103"/>
    <n v="1103"/>
    <x v="1"/>
    <x v="4"/>
    <x v="0"/>
    <s v="No"/>
    <s v="Y"/>
    <n v="1"/>
    <n v="-2"/>
    <n v="0"/>
    <n v="34"/>
    <n v="0"/>
    <m/>
    <n v="0"/>
    <n v="1"/>
    <n v="618"/>
    <n v="3"/>
    <x v="1"/>
    <n v="1"/>
    <n v="1"/>
    <n v="45"/>
    <n v="3"/>
    <n v="2"/>
    <n v="1"/>
    <n v="7756"/>
    <n v="22266"/>
    <n v="0"/>
    <n v="17"/>
    <n v="3"/>
    <n v="3"/>
    <n v="80"/>
    <n v="0"/>
    <n v="7"/>
    <n v="2"/>
    <n v="6"/>
    <n v="2"/>
    <n v="0"/>
    <n v="4"/>
  </r>
  <r>
    <s v="No"/>
    <s v="Travel_Rarely"/>
    <x v="0"/>
    <s v="Current Employees"/>
    <x v="0"/>
    <x v="0"/>
    <s v="STAFF-1105"/>
    <n v="1105"/>
    <x v="0"/>
    <x v="0"/>
    <x v="2"/>
    <s v="Yes"/>
    <s v="Y"/>
    <n v="5"/>
    <n v="-2"/>
    <n v="0"/>
    <n v="37"/>
    <n v="0"/>
    <m/>
    <n v="0"/>
    <n v="1"/>
    <n v="309"/>
    <n v="10"/>
    <x v="2"/>
    <n v="1"/>
    <n v="4"/>
    <n v="88"/>
    <n v="2"/>
    <n v="2"/>
    <n v="1"/>
    <n v="6694"/>
    <n v="24223"/>
    <n v="2"/>
    <n v="14"/>
    <n v="3"/>
    <n v="3"/>
    <n v="80"/>
    <n v="3"/>
    <n v="8"/>
    <n v="3"/>
    <n v="1"/>
    <n v="0"/>
    <n v="0"/>
    <n v="0"/>
  </r>
  <r>
    <s v="Yes"/>
    <s v="Travel_Rarely"/>
    <x v="2"/>
    <s v="Ex-Employees"/>
    <x v="1"/>
    <x v="4"/>
    <s v="STAFF-1106"/>
    <n v="1106"/>
    <x v="1"/>
    <x v="2"/>
    <x v="1"/>
    <s v="Yes"/>
    <s v="Y"/>
    <n v="3"/>
    <n v="-2"/>
    <n v="0"/>
    <n v="25"/>
    <n v="1"/>
    <n v="1"/>
    <n v="1"/>
    <n v="0"/>
    <n v="1219"/>
    <n v="4"/>
    <x v="1"/>
    <n v="1"/>
    <n v="4"/>
    <n v="32"/>
    <n v="3"/>
    <n v="1"/>
    <n v="4"/>
    <n v="3691"/>
    <n v="4605"/>
    <n v="1"/>
    <n v="15"/>
    <n v="3"/>
    <n v="2"/>
    <n v="80"/>
    <n v="1"/>
    <n v="7"/>
    <n v="4"/>
    <n v="7"/>
    <n v="7"/>
    <n v="5"/>
    <n v="6"/>
  </r>
  <r>
    <s v="Yes"/>
    <s v="Travel_Rarely"/>
    <x v="2"/>
    <s v="Ex-Employees"/>
    <x v="1"/>
    <x v="2"/>
    <s v="STAFF-1107"/>
    <n v="1107"/>
    <x v="1"/>
    <x v="2"/>
    <x v="2"/>
    <s v="No"/>
    <s v="Y"/>
    <n v="0"/>
    <n v="-2"/>
    <n v="0"/>
    <n v="26"/>
    <n v="1"/>
    <n v="1"/>
    <n v="1"/>
    <n v="0"/>
    <n v="1330"/>
    <n v="21"/>
    <x v="3"/>
    <n v="1"/>
    <n v="1"/>
    <n v="37"/>
    <n v="3"/>
    <n v="1"/>
    <n v="3"/>
    <n v="2377"/>
    <n v="19373"/>
    <n v="1"/>
    <n v="20"/>
    <n v="4"/>
    <n v="3"/>
    <n v="80"/>
    <n v="1"/>
    <n v="1"/>
    <n v="2"/>
    <n v="1"/>
    <n v="1"/>
    <n v="0"/>
    <n v="0"/>
  </r>
  <r>
    <s v="Yes"/>
    <s v="Travel_Rarely"/>
    <x v="2"/>
    <s v="Ex-Employees"/>
    <x v="1"/>
    <x v="2"/>
    <s v="STAFF-1108"/>
    <n v="1108"/>
    <x v="1"/>
    <x v="1"/>
    <x v="0"/>
    <s v="Yes"/>
    <s v="Y"/>
    <n v="0"/>
    <n v="-2"/>
    <n v="0"/>
    <n v="33"/>
    <n v="1"/>
    <n v="1"/>
    <n v="1"/>
    <n v="0"/>
    <n v="1017"/>
    <n v="25"/>
    <x v="3"/>
    <n v="1"/>
    <n v="1"/>
    <n v="55"/>
    <n v="2"/>
    <n v="1"/>
    <n v="3"/>
    <n v="2313"/>
    <n v="2993"/>
    <n v="4"/>
    <n v="20"/>
    <n v="4"/>
    <n v="2"/>
    <n v="80"/>
    <n v="0"/>
    <n v="5"/>
    <n v="3"/>
    <n v="2"/>
    <n v="2"/>
    <n v="2"/>
    <n v="2"/>
  </r>
  <r>
    <s v="No"/>
    <s v="Travel_Rarely"/>
    <x v="0"/>
    <s v="Current Employees"/>
    <x v="1"/>
    <x v="2"/>
    <s v="STAFF-1109"/>
    <n v="1109"/>
    <x v="1"/>
    <x v="5"/>
    <x v="1"/>
    <s v="No"/>
    <s v="Y"/>
    <n v="3"/>
    <n v="-2"/>
    <n v="0"/>
    <n v="42"/>
    <n v="0"/>
    <m/>
    <n v="0"/>
    <n v="1"/>
    <n v="469"/>
    <n v="2"/>
    <x v="0"/>
    <n v="1"/>
    <n v="4"/>
    <n v="35"/>
    <n v="3"/>
    <n v="4"/>
    <n v="3"/>
    <n v="17665"/>
    <n v="14399"/>
    <n v="0"/>
    <n v="17"/>
    <n v="3"/>
    <n v="4"/>
    <n v="80"/>
    <n v="1"/>
    <n v="23"/>
    <n v="3"/>
    <n v="22"/>
    <n v="6"/>
    <n v="13"/>
    <n v="7"/>
  </r>
  <r>
    <s v="Yes"/>
    <s v="Travel_Frequently"/>
    <x v="2"/>
    <s v="Ex-Employees"/>
    <x v="1"/>
    <x v="2"/>
    <s v="STAFF-1111"/>
    <n v="1111"/>
    <x v="1"/>
    <x v="2"/>
    <x v="2"/>
    <s v="No"/>
    <s v="Y"/>
    <n v="2"/>
    <n v="-2"/>
    <n v="0"/>
    <n v="28"/>
    <n v="1"/>
    <n v="1"/>
    <n v="1"/>
    <n v="0"/>
    <n v="1009"/>
    <n v="1"/>
    <x v="3"/>
    <n v="1"/>
    <n v="1"/>
    <n v="45"/>
    <n v="2"/>
    <n v="1"/>
    <n v="3"/>
    <n v="2596"/>
    <n v="7160"/>
    <n v="1"/>
    <n v="15"/>
    <n v="3"/>
    <n v="1"/>
    <n v="80"/>
    <n v="2"/>
    <n v="1"/>
    <n v="3"/>
    <n v="1"/>
    <n v="0"/>
    <n v="0"/>
    <n v="0"/>
  </r>
  <r>
    <s v="Yes"/>
    <s v="Travel_Frequently"/>
    <x v="1"/>
    <s v="Ex-Employees"/>
    <x v="0"/>
    <x v="1"/>
    <s v="STAFF-1113"/>
    <n v="1113"/>
    <x v="1"/>
    <x v="0"/>
    <x v="0"/>
    <s v="Yes"/>
    <s v="Y"/>
    <n v="4"/>
    <n v="-2"/>
    <n v="0"/>
    <n v="50"/>
    <n v="1"/>
    <n v="1"/>
    <n v="1"/>
    <n v="0"/>
    <n v="959"/>
    <n v="1"/>
    <x v="2"/>
    <n v="1"/>
    <n v="4"/>
    <n v="81"/>
    <n v="3"/>
    <n v="2"/>
    <n v="3"/>
    <n v="4728"/>
    <n v="17251"/>
    <n v="3"/>
    <n v="14"/>
    <n v="3"/>
    <n v="4"/>
    <n v="80"/>
    <n v="0"/>
    <n v="5"/>
    <n v="3"/>
    <n v="0"/>
    <n v="0"/>
    <n v="0"/>
    <n v="0"/>
  </r>
  <r>
    <s v="No"/>
    <s v="Travel_Frequently"/>
    <x v="2"/>
    <s v="Current Employees"/>
    <x v="0"/>
    <x v="0"/>
    <s v="STAFF-1114"/>
    <n v="1114"/>
    <x v="0"/>
    <x v="0"/>
    <x v="1"/>
    <s v="No"/>
    <s v="Y"/>
    <n v="3"/>
    <n v="-2"/>
    <n v="0"/>
    <n v="33"/>
    <n v="0"/>
    <m/>
    <n v="0"/>
    <n v="1"/>
    <n v="970"/>
    <n v="7"/>
    <x v="3"/>
    <n v="1"/>
    <n v="4"/>
    <n v="30"/>
    <n v="3"/>
    <n v="2"/>
    <n v="1"/>
    <n v="4302"/>
    <n v="13401"/>
    <n v="0"/>
    <n v="17"/>
    <n v="3"/>
    <n v="3"/>
    <n v="80"/>
    <n v="1"/>
    <n v="4"/>
    <n v="3"/>
    <n v="3"/>
    <n v="2"/>
    <n v="0"/>
    <n v="2"/>
  </r>
  <r>
    <s v="No"/>
    <s v="Non-Travel"/>
    <x v="2"/>
    <s v="Current Employees"/>
    <x v="1"/>
    <x v="0"/>
    <s v="STAFF-1115"/>
    <n v="1115"/>
    <x v="1"/>
    <x v="1"/>
    <x v="1"/>
    <s v="No"/>
    <s v="Y"/>
    <n v="2"/>
    <n v="-2"/>
    <n v="0"/>
    <n v="34"/>
    <n v="0"/>
    <m/>
    <n v="0"/>
    <n v="1"/>
    <n v="697"/>
    <n v="3"/>
    <x v="2"/>
    <n v="1"/>
    <n v="3"/>
    <n v="40"/>
    <n v="2"/>
    <n v="1"/>
    <n v="1"/>
    <n v="2979"/>
    <n v="22478"/>
    <n v="3"/>
    <n v="17"/>
    <n v="3"/>
    <n v="4"/>
    <n v="80"/>
    <n v="3"/>
    <n v="6"/>
    <n v="3"/>
    <n v="0"/>
    <n v="0"/>
    <n v="0"/>
    <n v="0"/>
  </r>
  <r>
    <s v="No"/>
    <s v="Non-Travel"/>
    <x v="1"/>
    <s v="Current Employees"/>
    <x v="1"/>
    <x v="2"/>
    <s v="STAFF-1116"/>
    <n v="1116"/>
    <x v="1"/>
    <x v="5"/>
    <x v="0"/>
    <s v="No"/>
    <s v="Y"/>
    <n v="3"/>
    <n v="-2"/>
    <n v="0"/>
    <n v="48"/>
    <n v="0"/>
    <m/>
    <n v="0"/>
    <n v="1"/>
    <n v="1262"/>
    <n v="1"/>
    <x v="2"/>
    <n v="1"/>
    <n v="1"/>
    <n v="35"/>
    <n v="4"/>
    <n v="4"/>
    <n v="4"/>
    <n v="16885"/>
    <n v="16154"/>
    <n v="2"/>
    <n v="22"/>
    <n v="4"/>
    <n v="3"/>
    <n v="80"/>
    <n v="0"/>
    <n v="27"/>
    <n v="2"/>
    <n v="5"/>
    <n v="4"/>
    <n v="2"/>
    <n v="1"/>
  </r>
  <r>
    <s v="No"/>
    <s v="Non-Travel"/>
    <x v="1"/>
    <s v="Current Employees"/>
    <x v="0"/>
    <x v="0"/>
    <s v="STAFF-1117"/>
    <n v="1117"/>
    <x v="0"/>
    <x v="0"/>
    <x v="1"/>
    <s v="No"/>
    <s v="Y"/>
    <n v="2"/>
    <n v="-2"/>
    <n v="0"/>
    <n v="45"/>
    <n v="0"/>
    <m/>
    <n v="0"/>
    <n v="1"/>
    <n v="1050"/>
    <n v="9"/>
    <x v="2"/>
    <n v="1"/>
    <n v="2"/>
    <n v="65"/>
    <n v="2"/>
    <n v="2"/>
    <n v="1"/>
    <n v="5593"/>
    <n v="17970"/>
    <n v="1"/>
    <n v="13"/>
    <n v="3"/>
    <n v="4"/>
    <n v="80"/>
    <n v="1"/>
    <n v="15"/>
    <n v="3"/>
    <n v="15"/>
    <n v="10"/>
    <n v="4"/>
    <n v="12"/>
  </r>
  <r>
    <s v="No"/>
    <s v="Travel_Rarely"/>
    <x v="1"/>
    <s v="Current Employees"/>
    <x v="1"/>
    <x v="0"/>
    <s v="STAFF-1118"/>
    <n v="1118"/>
    <x v="1"/>
    <x v="4"/>
    <x v="0"/>
    <s v="No"/>
    <s v="Y"/>
    <n v="4"/>
    <n v="-2"/>
    <n v="0"/>
    <n v="52"/>
    <n v="0"/>
    <m/>
    <n v="0"/>
    <n v="1"/>
    <n v="994"/>
    <n v="7"/>
    <x v="2"/>
    <n v="1"/>
    <n v="2"/>
    <n v="87"/>
    <n v="3"/>
    <n v="3"/>
    <n v="1"/>
    <n v="10445"/>
    <n v="15322"/>
    <n v="7"/>
    <n v="19"/>
    <n v="3"/>
    <n v="4"/>
    <n v="80"/>
    <n v="0"/>
    <n v="18"/>
    <n v="3"/>
    <n v="8"/>
    <n v="6"/>
    <n v="4"/>
    <n v="0"/>
  </r>
  <r>
    <s v="No"/>
    <s v="Travel_Rarely"/>
    <x v="0"/>
    <s v="Current Employees"/>
    <x v="0"/>
    <x v="3"/>
    <s v="STAFF-1119"/>
    <n v="1119"/>
    <x v="1"/>
    <x v="0"/>
    <x v="2"/>
    <s v="Yes"/>
    <s v="Y"/>
    <n v="2"/>
    <n v="-2"/>
    <n v="0"/>
    <n v="38"/>
    <n v="0"/>
    <m/>
    <n v="0"/>
    <n v="1"/>
    <n v="770"/>
    <n v="10"/>
    <x v="2"/>
    <n v="1"/>
    <n v="3"/>
    <n v="73"/>
    <n v="2"/>
    <n v="3"/>
    <n v="2"/>
    <n v="8740"/>
    <n v="5569"/>
    <n v="0"/>
    <n v="14"/>
    <n v="3"/>
    <n v="2"/>
    <n v="80"/>
    <n v="2"/>
    <n v="9"/>
    <n v="3"/>
    <n v="8"/>
    <n v="7"/>
    <n v="2"/>
    <n v="7"/>
  </r>
  <r>
    <s v="No"/>
    <s v="Travel_Rarely"/>
    <x v="2"/>
    <s v="Current Employees"/>
    <x v="1"/>
    <x v="0"/>
    <s v="STAFF-1120"/>
    <n v="1120"/>
    <x v="0"/>
    <x v="1"/>
    <x v="2"/>
    <s v="No"/>
    <s v="Y"/>
    <n v="1"/>
    <n v="-2"/>
    <n v="0"/>
    <n v="29"/>
    <n v="0"/>
    <m/>
    <n v="0"/>
    <n v="1"/>
    <n v="1107"/>
    <n v="28"/>
    <x v="2"/>
    <n v="1"/>
    <n v="3"/>
    <n v="93"/>
    <n v="3"/>
    <n v="1"/>
    <n v="1"/>
    <n v="2514"/>
    <n v="26968"/>
    <n v="4"/>
    <n v="22"/>
    <n v="4"/>
    <n v="1"/>
    <n v="80"/>
    <n v="1"/>
    <n v="11"/>
    <n v="3"/>
    <n v="7"/>
    <n v="5"/>
    <n v="1"/>
    <n v="7"/>
  </r>
  <r>
    <s v="No"/>
    <s v="Travel_Rarely"/>
    <x v="2"/>
    <s v="Current Employees"/>
    <x v="1"/>
    <x v="2"/>
    <s v="STAFF-1121"/>
    <n v="1121"/>
    <x v="0"/>
    <x v="3"/>
    <x v="2"/>
    <s v="No"/>
    <s v="Y"/>
    <n v="3"/>
    <n v="-2"/>
    <n v="0"/>
    <n v="28"/>
    <n v="0"/>
    <m/>
    <n v="0"/>
    <n v="1"/>
    <n v="950"/>
    <n v="3"/>
    <x v="3"/>
    <n v="1"/>
    <n v="4"/>
    <n v="93"/>
    <n v="3"/>
    <n v="3"/>
    <n v="3"/>
    <n v="7655"/>
    <n v="8039"/>
    <n v="0"/>
    <n v="17"/>
    <n v="3"/>
    <n v="2"/>
    <n v="80"/>
    <n v="3"/>
    <n v="10"/>
    <n v="2"/>
    <n v="9"/>
    <n v="7"/>
    <n v="1"/>
    <n v="7"/>
  </r>
  <r>
    <s v="No"/>
    <s v="Travel_Rarely"/>
    <x v="1"/>
    <s v="Current Employees"/>
    <x v="0"/>
    <x v="3"/>
    <s v="STAFF-1124"/>
    <n v="1124"/>
    <x v="1"/>
    <x v="5"/>
    <x v="1"/>
    <s v="No"/>
    <s v="Y"/>
    <n v="3"/>
    <n v="-2"/>
    <n v="0"/>
    <n v="46"/>
    <n v="0"/>
    <m/>
    <n v="0"/>
    <n v="1"/>
    <n v="406"/>
    <n v="3"/>
    <x v="1"/>
    <n v="1"/>
    <n v="1"/>
    <n v="52"/>
    <n v="3"/>
    <n v="4"/>
    <n v="2"/>
    <n v="17465"/>
    <n v="15596"/>
    <n v="3"/>
    <n v="12"/>
    <n v="3"/>
    <n v="4"/>
    <n v="80"/>
    <n v="1"/>
    <n v="23"/>
    <n v="3"/>
    <n v="12"/>
    <n v="9"/>
    <n v="4"/>
    <n v="9"/>
  </r>
  <r>
    <s v="No"/>
    <s v="Travel_Rarely"/>
    <x v="0"/>
    <s v="Current Employees"/>
    <x v="0"/>
    <x v="3"/>
    <s v="STAFF-1125"/>
    <n v="1125"/>
    <x v="1"/>
    <x v="0"/>
    <x v="0"/>
    <s v="No"/>
    <s v="Y"/>
    <n v="2"/>
    <n v="-2"/>
    <n v="0"/>
    <n v="38"/>
    <n v="0"/>
    <m/>
    <n v="0"/>
    <n v="1"/>
    <n v="130"/>
    <n v="2"/>
    <x v="0"/>
    <n v="1"/>
    <n v="4"/>
    <n v="32"/>
    <n v="3"/>
    <n v="3"/>
    <n v="2"/>
    <n v="7351"/>
    <n v="20619"/>
    <n v="7"/>
    <n v="16"/>
    <n v="3"/>
    <n v="3"/>
    <n v="80"/>
    <n v="0"/>
    <n v="10"/>
    <n v="3"/>
    <n v="1"/>
    <n v="0"/>
    <n v="0"/>
    <n v="0"/>
  </r>
  <r>
    <s v="No"/>
    <s v="Travel_Frequently"/>
    <x v="0"/>
    <s v="Current Employees"/>
    <x v="1"/>
    <x v="0"/>
    <s v="STAFF-1126"/>
    <n v="1126"/>
    <x v="0"/>
    <x v="3"/>
    <x v="1"/>
    <s v="No"/>
    <s v="Y"/>
    <n v="1"/>
    <n v="-2"/>
    <n v="0"/>
    <n v="43"/>
    <n v="0"/>
    <m/>
    <n v="0"/>
    <n v="1"/>
    <n v="1082"/>
    <n v="27"/>
    <x v="3"/>
    <n v="1"/>
    <n v="3"/>
    <n v="83"/>
    <n v="3"/>
    <n v="3"/>
    <n v="1"/>
    <n v="10820"/>
    <n v="11535"/>
    <n v="8"/>
    <n v="11"/>
    <n v="3"/>
    <n v="3"/>
    <n v="80"/>
    <n v="1"/>
    <n v="18"/>
    <n v="3"/>
    <n v="8"/>
    <n v="7"/>
    <n v="0"/>
    <n v="1"/>
  </r>
  <r>
    <s v="Yes"/>
    <s v="Travel_Frequently"/>
    <x v="0"/>
    <s v="Ex-Employees"/>
    <x v="1"/>
    <x v="0"/>
    <s v="STAFF-1127"/>
    <n v="1127"/>
    <x v="1"/>
    <x v="4"/>
    <x v="2"/>
    <s v="No"/>
    <s v="Y"/>
    <n v="4"/>
    <n v="-2"/>
    <n v="0"/>
    <n v="39"/>
    <n v="1"/>
    <n v="1"/>
    <n v="1"/>
    <n v="0"/>
    <n v="203"/>
    <n v="2"/>
    <x v="3"/>
    <n v="1"/>
    <n v="1"/>
    <n v="84"/>
    <n v="3"/>
    <n v="4"/>
    <n v="1"/>
    <n v="12169"/>
    <n v="13547"/>
    <n v="7"/>
    <n v="11"/>
    <n v="3"/>
    <n v="4"/>
    <n v="80"/>
    <n v="3"/>
    <n v="21"/>
    <n v="3"/>
    <n v="18"/>
    <n v="7"/>
    <n v="11"/>
    <n v="5"/>
  </r>
  <r>
    <s v="No"/>
    <s v="Travel_Rarely"/>
    <x v="0"/>
    <s v="Current Employees"/>
    <x v="1"/>
    <x v="2"/>
    <s v="STAFF-1128"/>
    <n v="1128"/>
    <x v="1"/>
    <x v="7"/>
    <x v="0"/>
    <s v="No"/>
    <s v="Y"/>
    <n v="2"/>
    <n v="-2"/>
    <n v="0"/>
    <n v="40"/>
    <n v="0"/>
    <m/>
    <n v="0"/>
    <n v="1"/>
    <n v="1308"/>
    <n v="14"/>
    <x v="3"/>
    <n v="1"/>
    <n v="3"/>
    <n v="44"/>
    <n v="2"/>
    <n v="5"/>
    <n v="3"/>
    <n v="19626"/>
    <n v="17544"/>
    <n v="1"/>
    <n v="14"/>
    <n v="3"/>
    <n v="1"/>
    <n v="80"/>
    <n v="0"/>
    <n v="21"/>
    <n v="4"/>
    <n v="20"/>
    <n v="7"/>
    <n v="4"/>
    <n v="9"/>
  </r>
  <r>
    <s v="No"/>
    <s v="Travel_Rarely"/>
    <x v="4"/>
    <s v="Current Employees"/>
    <x v="1"/>
    <x v="4"/>
    <s v="STAFF-1131"/>
    <n v="1131"/>
    <x v="0"/>
    <x v="1"/>
    <x v="0"/>
    <s v="Yes"/>
    <s v="Y"/>
    <n v="6"/>
    <n v="-2"/>
    <n v="0"/>
    <n v="21"/>
    <n v="0"/>
    <m/>
    <n v="0"/>
    <n v="1"/>
    <n v="984"/>
    <n v="1"/>
    <x v="1"/>
    <n v="1"/>
    <n v="4"/>
    <n v="70"/>
    <n v="2"/>
    <n v="1"/>
    <n v="4"/>
    <n v="2070"/>
    <n v="25326"/>
    <n v="1"/>
    <n v="11"/>
    <n v="3"/>
    <n v="3"/>
    <n v="80"/>
    <n v="0"/>
    <n v="2"/>
    <n v="4"/>
    <n v="2"/>
    <n v="2"/>
    <n v="2"/>
    <n v="2"/>
  </r>
  <r>
    <s v="No"/>
    <s v="Non-Travel"/>
    <x v="0"/>
    <s v="Current Employees"/>
    <x v="1"/>
    <x v="0"/>
    <s v="STAFF-1132"/>
    <n v="1132"/>
    <x v="1"/>
    <x v="2"/>
    <x v="0"/>
    <s v="No"/>
    <s v="Y"/>
    <n v="2"/>
    <n v="-2"/>
    <n v="0"/>
    <n v="39"/>
    <n v="0"/>
    <m/>
    <n v="0"/>
    <n v="1"/>
    <n v="439"/>
    <n v="9"/>
    <x v="3"/>
    <n v="1"/>
    <n v="3"/>
    <n v="70"/>
    <n v="3"/>
    <n v="2"/>
    <n v="1"/>
    <n v="6782"/>
    <n v="8770"/>
    <n v="9"/>
    <n v="15"/>
    <n v="3"/>
    <n v="3"/>
    <n v="80"/>
    <n v="0"/>
    <n v="9"/>
    <n v="2"/>
    <n v="5"/>
    <n v="4"/>
    <n v="0"/>
    <n v="3"/>
  </r>
  <r>
    <s v="No"/>
    <s v="Non-Travel"/>
    <x v="0"/>
    <s v="Current Employees"/>
    <x v="1"/>
    <x v="0"/>
    <s v="STAFF-1133"/>
    <n v="1133"/>
    <x v="1"/>
    <x v="3"/>
    <x v="0"/>
    <s v="No"/>
    <s v="Y"/>
    <n v="0"/>
    <n v="-2"/>
    <n v="0"/>
    <n v="36"/>
    <n v="0"/>
    <m/>
    <n v="0"/>
    <n v="1"/>
    <n v="217"/>
    <n v="18"/>
    <x v="2"/>
    <n v="1"/>
    <n v="1"/>
    <n v="78"/>
    <n v="3"/>
    <n v="2"/>
    <n v="1"/>
    <n v="7779"/>
    <n v="23238"/>
    <n v="2"/>
    <n v="20"/>
    <n v="4"/>
    <n v="1"/>
    <n v="80"/>
    <n v="0"/>
    <n v="18"/>
    <n v="3"/>
    <n v="11"/>
    <n v="9"/>
    <n v="0"/>
    <n v="9"/>
  </r>
  <r>
    <s v="No"/>
    <s v="Travel_Frequently"/>
    <x v="2"/>
    <s v="Current Employees"/>
    <x v="0"/>
    <x v="0"/>
    <s v="STAFF-1135"/>
    <n v="1135"/>
    <x v="1"/>
    <x v="6"/>
    <x v="1"/>
    <s v="No"/>
    <s v="Y"/>
    <n v="4"/>
    <n v="-2"/>
    <n v="0"/>
    <n v="31"/>
    <n v="0"/>
    <m/>
    <n v="0"/>
    <n v="1"/>
    <n v="793"/>
    <n v="20"/>
    <x v="3"/>
    <n v="1"/>
    <n v="3"/>
    <n v="67"/>
    <n v="4"/>
    <n v="1"/>
    <n v="1"/>
    <n v="2791"/>
    <n v="21981"/>
    <n v="0"/>
    <n v="12"/>
    <n v="3"/>
    <n v="1"/>
    <n v="80"/>
    <n v="1"/>
    <n v="3"/>
    <n v="3"/>
    <n v="2"/>
    <n v="2"/>
    <n v="2"/>
    <n v="2"/>
  </r>
  <r>
    <s v="No"/>
    <s v="Travel_Rarely"/>
    <x v="2"/>
    <s v="Current Employees"/>
    <x v="1"/>
    <x v="0"/>
    <s v="STAFF-1136"/>
    <n v="1136"/>
    <x v="1"/>
    <x v="1"/>
    <x v="1"/>
    <s v="No"/>
    <s v="Y"/>
    <n v="2"/>
    <n v="-2"/>
    <n v="0"/>
    <n v="28"/>
    <n v="0"/>
    <m/>
    <n v="0"/>
    <n v="1"/>
    <n v="1451"/>
    <n v="2"/>
    <x v="1"/>
    <n v="1"/>
    <n v="1"/>
    <n v="67"/>
    <n v="2"/>
    <n v="1"/>
    <n v="1"/>
    <n v="3201"/>
    <n v="19911"/>
    <n v="0"/>
    <n v="17"/>
    <n v="3"/>
    <n v="1"/>
    <n v="80"/>
    <n v="0"/>
    <n v="6"/>
    <n v="1"/>
    <n v="5"/>
    <n v="3"/>
    <n v="0"/>
    <n v="4"/>
  </r>
  <r>
    <s v="No"/>
    <s v="Travel_Frequently"/>
    <x v="0"/>
    <s v="Current Employees"/>
    <x v="0"/>
    <x v="3"/>
    <s v="STAFF-1137"/>
    <n v="1137"/>
    <x v="1"/>
    <x v="0"/>
    <x v="2"/>
    <s v="No"/>
    <s v="Y"/>
    <n v="3"/>
    <n v="-2"/>
    <n v="0"/>
    <n v="35"/>
    <n v="0"/>
    <m/>
    <n v="0"/>
    <n v="1"/>
    <n v="1182"/>
    <n v="11"/>
    <x v="0"/>
    <n v="1"/>
    <n v="4"/>
    <n v="54"/>
    <n v="3"/>
    <n v="2"/>
    <n v="2"/>
    <n v="4968"/>
    <n v="18500"/>
    <n v="1"/>
    <n v="11"/>
    <n v="3"/>
    <n v="4"/>
    <n v="80"/>
    <n v="1"/>
    <n v="5"/>
    <n v="3"/>
    <n v="5"/>
    <n v="2"/>
    <n v="0"/>
    <n v="2"/>
  </r>
  <r>
    <s v="No"/>
    <s v="Travel_Rarely"/>
    <x v="1"/>
    <s v="Current Employees"/>
    <x v="0"/>
    <x v="4"/>
    <s v="STAFF-1138"/>
    <n v="1138"/>
    <x v="1"/>
    <x v="0"/>
    <x v="1"/>
    <s v="No"/>
    <s v="Y"/>
    <n v="3"/>
    <n v="-2"/>
    <n v="0"/>
    <n v="49"/>
    <n v="0"/>
    <m/>
    <n v="0"/>
    <n v="1"/>
    <n v="174"/>
    <n v="8"/>
    <x v="2"/>
    <n v="1"/>
    <n v="4"/>
    <n v="56"/>
    <n v="2"/>
    <n v="4"/>
    <n v="4"/>
    <n v="13120"/>
    <n v="11879"/>
    <n v="6"/>
    <n v="17"/>
    <n v="3"/>
    <n v="2"/>
    <n v="80"/>
    <n v="1"/>
    <n v="22"/>
    <n v="3"/>
    <n v="9"/>
    <n v="8"/>
    <n v="2"/>
    <n v="3"/>
  </r>
  <r>
    <s v="No"/>
    <s v="Travel_Frequently"/>
    <x v="2"/>
    <s v="Current Employees"/>
    <x v="1"/>
    <x v="0"/>
    <s v="STAFF-1140"/>
    <n v="1140"/>
    <x v="1"/>
    <x v="3"/>
    <x v="0"/>
    <s v="No"/>
    <s v="Y"/>
    <n v="3"/>
    <n v="-2"/>
    <n v="0"/>
    <n v="34"/>
    <n v="0"/>
    <m/>
    <n v="0"/>
    <n v="1"/>
    <n v="1003"/>
    <n v="2"/>
    <x v="0"/>
    <n v="1"/>
    <n v="4"/>
    <n v="95"/>
    <n v="3"/>
    <n v="2"/>
    <n v="1"/>
    <n v="4033"/>
    <n v="15834"/>
    <n v="2"/>
    <n v="11"/>
    <n v="3"/>
    <n v="4"/>
    <n v="80"/>
    <n v="0"/>
    <n v="5"/>
    <n v="2"/>
    <n v="3"/>
    <n v="2"/>
    <n v="0"/>
    <n v="2"/>
  </r>
  <r>
    <s v="No"/>
    <s v="Travel_Frequently"/>
    <x v="2"/>
    <s v="Current Employees"/>
    <x v="1"/>
    <x v="0"/>
    <s v="STAFF-1143"/>
    <n v="1143"/>
    <x v="0"/>
    <x v="1"/>
    <x v="2"/>
    <s v="No"/>
    <s v="Y"/>
    <n v="2"/>
    <n v="-2"/>
    <n v="0"/>
    <n v="29"/>
    <n v="0"/>
    <m/>
    <n v="0"/>
    <n v="1"/>
    <n v="490"/>
    <n v="10"/>
    <x v="3"/>
    <n v="1"/>
    <n v="4"/>
    <n v="61"/>
    <n v="3"/>
    <n v="1"/>
    <n v="1"/>
    <n v="3291"/>
    <n v="17940"/>
    <n v="0"/>
    <n v="14"/>
    <n v="3"/>
    <n v="4"/>
    <n v="80"/>
    <n v="2"/>
    <n v="8"/>
    <n v="2"/>
    <n v="7"/>
    <n v="5"/>
    <n v="1"/>
    <n v="1"/>
  </r>
  <r>
    <s v="No"/>
    <s v="Travel_Rarely"/>
    <x v="0"/>
    <s v="Current Employees"/>
    <x v="1"/>
    <x v="2"/>
    <s v="STAFF-1148"/>
    <n v="1148"/>
    <x v="1"/>
    <x v="2"/>
    <x v="0"/>
    <s v="No"/>
    <s v="Y"/>
    <n v="3"/>
    <n v="-2"/>
    <n v="0"/>
    <n v="42"/>
    <n v="0"/>
    <m/>
    <n v="0"/>
    <n v="1"/>
    <n v="188"/>
    <n v="29"/>
    <x v="3"/>
    <n v="1"/>
    <n v="2"/>
    <n v="56"/>
    <n v="1"/>
    <n v="2"/>
    <n v="4"/>
    <n v="4272"/>
    <n v="9558"/>
    <n v="4"/>
    <n v="19"/>
    <n v="3"/>
    <n v="1"/>
    <n v="80"/>
    <n v="0"/>
    <n v="16"/>
    <n v="3"/>
    <n v="1"/>
    <n v="0"/>
    <n v="0"/>
    <n v="0"/>
  </r>
  <r>
    <s v="No"/>
    <s v="Travel_Rarely"/>
    <x v="2"/>
    <s v="Current Employees"/>
    <x v="1"/>
    <x v="2"/>
    <s v="STAFF-1150"/>
    <n v="1150"/>
    <x v="1"/>
    <x v="3"/>
    <x v="1"/>
    <s v="Yes"/>
    <s v="Y"/>
    <n v="2"/>
    <n v="-2"/>
    <n v="0"/>
    <n v="29"/>
    <n v="0"/>
    <m/>
    <n v="0"/>
    <n v="1"/>
    <n v="718"/>
    <n v="8"/>
    <x v="1"/>
    <n v="1"/>
    <n v="2"/>
    <n v="79"/>
    <n v="2"/>
    <n v="2"/>
    <n v="4"/>
    <n v="5056"/>
    <n v="17689"/>
    <n v="1"/>
    <n v="15"/>
    <n v="3"/>
    <n v="3"/>
    <n v="80"/>
    <n v="1"/>
    <n v="10"/>
    <n v="2"/>
    <n v="10"/>
    <n v="7"/>
    <n v="1"/>
    <n v="2"/>
  </r>
  <r>
    <s v="No"/>
    <s v="Travel_Rarely"/>
    <x v="0"/>
    <s v="Current Employees"/>
    <x v="2"/>
    <x v="5"/>
    <s v="STAFF-1152"/>
    <n v="1152"/>
    <x v="1"/>
    <x v="8"/>
    <x v="1"/>
    <s v="No"/>
    <s v="Y"/>
    <n v="2"/>
    <n v="-2"/>
    <n v="0"/>
    <n v="38"/>
    <n v="0"/>
    <m/>
    <n v="0"/>
    <n v="1"/>
    <n v="433"/>
    <n v="1"/>
    <x v="3"/>
    <n v="1"/>
    <n v="3"/>
    <n v="37"/>
    <n v="4"/>
    <n v="1"/>
    <n v="3"/>
    <n v="2844"/>
    <n v="6004"/>
    <n v="1"/>
    <n v="13"/>
    <n v="3"/>
    <n v="4"/>
    <n v="80"/>
    <n v="1"/>
    <n v="7"/>
    <n v="4"/>
    <n v="7"/>
    <n v="6"/>
    <n v="5"/>
    <n v="0"/>
  </r>
  <r>
    <s v="No"/>
    <s v="Travel_Frequently"/>
    <x v="2"/>
    <s v="Current Employees"/>
    <x v="1"/>
    <x v="0"/>
    <s v="STAFF-1154"/>
    <n v="1154"/>
    <x v="1"/>
    <x v="1"/>
    <x v="2"/>
    <s v="Yes"/>
    <s v="Y"/>
    <n v="2"/>
    <n v="-2"/>
    <n v="0"/>
    <n v="28"/>
    <n v="0"/>
    <m/>
    <n v="0"/>
    <n v="1"/>
    <n v="773"/>
    <n v="6"/>
    <x v="3"/>
    <n v="1"/>
    <n v="3"/>
    <n v="39"/>
    <n v="2"/>
    <n v="1"/>
    <n v="1"/>
    <n v="2703"/>
    <n v="22088"/>
    <n v="1"/>
    <n v="14"/>
    <n v="3"/>
    <n v="4"/>
    <n v="80"/>
    <n v="1"/>
    <n v="3"/>
    <n v="3"/>
    <n v="3"/>
    <n v="1"/>
    <n v="0"/>
    <n v="2"/>
  </r>
  <r>
    <s v="Yes"/>
    <s v="Non-Travel"/>
    <x v="4"/>
    <s v="Ex-Employees"/>
    <x v="1"/>
    <x v="2"/>
    <s v="STAFF-1156"/>
    <n v="1156"/>
    <x v="1"/>
    <x v="2"/>
    <x v="0"/>
    <s v="No"/>
    <s v="Y"/>
    <n v="0"/>
    <n v="-2"/>
    <n v="0"/>
    <n v="18"/>
    <n v="1"/>
    <n v="1"/>
    <n v="1"/>
    <n v="0"/>
    <n v="247"/>
    <n v="8"/>
    <x v="1"/>
    <n v="1"/>
    <n v="3"/>
    <n v="80"/>
    <n v="3"/>
    <n v="1"/>
    <n v="3"/>
    <n v="1904"/>
    <n v="13556"/>
    <n v="1"/>
    <n v="12"/>
    <n v="3"/>
    <n v="4"/>
    <n v="80"/>
    <n v="0"/>
    <n v="0"/>
    <n v="3"/>
    <n v="0"/>
    <n v="0"/>
    <n v="0"/>
    <n v="0"/>
  </r>
  <r>
    <s v="Yes"/>
    <s v="Travel_Rarely"/>
    <x v="2"/>
    <s v="Ex-Employees"/>
    <x v="0"/>
    <x v="3"/>
    <s v="STAFF-1157"/>
    <n v="1157"/>
    <x v="0"/>
    <x v="0"/>
    <x v="0"/>
    <s v="Yes"/>
    <s v="Y"/>
    <n v="3"/>
    <n v="-2"/>
    <n v="0"/>
    <n v="33"/>
    <n v="1"/>
    <n v="1"/>
    <n v="1"/>
    <n v="0"/>
    <n v="603"/>
    <n v="9"/>
    <x v="2"/>
    <n v="1"/>
    <n v="1"/>
    <n v="77"/>
    <n v="3"/>
    <n v="2"/>
    <n v="2"/>
    <n v="8224"/>
    <n v="18385"/>
    <n v="0"/>
    <n v="17"/>
    <n v="3"/>
    <n v="1"/>
    <n v="80"/>
    <n v="0"/>
    <n v="6"/>
    <n v="3"/>
    <n v="5"/>
    <n v="2"/>
    <n v="0"/>
    <n v="3"/>
  </r>
  <r>
    <s v="No"/>
    <s v="Travel_Rarely"/>
    <x v="0"/>
    <s v="Current Employees"/>
    <x v="1"/>
    <x v="0"/>
    <s v="STAFF-1158"/>
    <n v="1158"/>
    <x v="1"/>
    <x v="2"/>
    <x v="1"/>
    <s v="Yes"/>
    <s v="Y"/>
    <n v="4"/>
    <n v="-2"/>
    <n v="0"/>
    <n v="41"/>
    <n v="0"/>
    <m/>
    <n v="0"/>
    <n v="1"/>
    <n v="167"/>
    <n v="12"/>
    <x v="2"/>
    <n v="1"/>
    <n v="2"/>
    <n v="46"/>
    <n v="3"/>
    <n v="1"/>
    <n v="1"/>
    <n v="4766"/>
    <n v="9051"/>
    <n v="3"/>
    <n v="11"/>
    <n v="3"/>
    <n v="1"/>
    <n v="80"/>
    <n v="1"/>
    <n v="6"/>
    <n v="3"/>
    <n v="1"/>
    <n v="0"/>
    <n v="0"/>
    <n v="0"/>
  </r>
  <r>
    <s v="Yes"/>
    <s v="Travel_Frequently"/>
    <x v="2"/>
    <s v="Ex-Employees"/>
    <x v="1"/>
    <x v="2"/>
    <s v="STAFF-1160"/>
    <n v="1160"/>
    <x v="1"/>
    <x v="2"/>
    <x v="1"/>
    <s v="No"/>
    <s v="Y"/>
    <n v="5"/>
    <n v="-2"/>
    <n v="0"/>
    <n v="31"/>
    <n v="1"/>
    <n v="1"/>
    <n v="1"/>
    <n v="0"/>
    <n v="874"/>
    <n v="15"/>
    <x v="3"/>
    <n v="1"/>
    <n v="3"/>
    <n v="72"/>
    <n v="3"/>
    <n v="1"/>
    <n v="3"/>
    <n v="2610"/>
    <n v="6233"/>
    <n v="1"/>
    <n v="12"/>
    <n v="3"/>
    <n v="3"/>
    <n v="80"/>
    <n v="1"/>
    <n v="2"/>
    <n v="2"/>
    <n v="2"/>
    <n v="2"/>
    <n v="2"/>
    <n v="2"/>
  </r>
  <r>
    <s v="No"/>
    <s v="Travel_Rarely"/>
    <x v="0"/>
    <s v="Current Employees"/>
    <x v="1"/>
    <x v="2"/>
    <s v="STAFF-1161"/>
    <n v="1161"/>
    <x v="0"/>
    <x v="4"/>
    <x v="2"/>
    <s v="No"/>
    <s v="Y"/>
    <n v="2"/>
    <n v="-2"/>
    <n v="0"/>
    <n v="37"/>
    <n v="0"/>
    <m/>
    <n v="0"/>
    <n v="1"/>
    <n v="367"/>
    <n v="25"/>
    <x v="0"/>
    <n v="1"/>
    <n v="3"/>
    <n v="52"/>
    <n v="2"/>
    <n v="2"/>
    <n v="4"/>
    <n v="5731"/>
    <n v="17171"/>
    <n v="7"/>
    <n v="13"/>
    <n v="3"/>
    <n v="3"/>
    <n v="80"/>
    <n v="2"/>
    <n v="9"/>
    <n v="3"/>
    <n v="6"/>
    <n v="2"/>
    <n v="1"/>
    <n v="3"/>
  </r>
  <r>
    <s v="No"/>
    <s v="Travel_Rarely"/>
    <x v="2"/>
    <s v="Current Employees"/>
    <x v="1"/>
    <x v="0"/>
    <s v="STAFF-1162"/>
    <n v="1162"/>
    <x v="1"/>
    <x v="1"/>
    <x v="1"/>
    <s v="No"/>
    <s v="Y"/>
    <n v="0"/>
    <n v="-2"/>
    <n v="0"/>
    <n v="27"/>
    <n v="0"/>
    <m/>
    <n v="0"/>
    <n v="1"/>
    <n v="199"/>
    <n v="6"/>
    <x v="3"/>
    <n v="1"/>
    <n v="4"/>
    <n v="55"/>
    <n v="2"/>
    <n v="1"/>
    <n v="1"/>
    <n v="2539"/>
    <n v="7950"/>
    <n v="1"/>
    <n v="13"/>
    <n v="3"/>
    <n v="3"/>
    <n v="80"/>
    <n v="1"/>
    <n v="4"/>
    <n v="3"/>
    <n v="4"/>
    <n v="2"/>
    <n v="2"/>
    <n v="2"/>
  </r>
  <r>
    <s v="No"/>
    <s v="Travel_Rarely"/>
    <x v="2"/>
    <s v="Current Employees"/>
    <x v="0"/>
    <x v="0"/>
    <s v="STAFF-1163"/>
    <n v="1163"/>
    <x v="0"/>
    <x v="0"/>
    <x v="1"/>
    <s v="No"/>
    <s v="Y"/>
    <n v="3"/>
    <n v="-2"/>
    <n v="0"/>
    <n v="34"/>
    <n v="0"/>
    <m/>
    <n v="0"/>
    <n v="1"/>
    <n v="1400"/>
    <n v="9"/>
    <x v="1"/>
    <n v="1"/>
    <n v="2"/>
    <n v="70"/>
    <n v="3"/>
    <n v="2"/>
    <n v="1"/>
    <n v="5714"/>
    <n v="5829"/>
    <n v="1"/>
    <n v="20"/>
    <n v="4"/>
    <n v="1"/>
    <n v="80"/>
    <n v="0"/>
    <n v="6"/>
    <n v="2"/>
    <n v="6"/>
    <n v="5"/>
    <n v="1"/>
    <n v="3"/>
  </r>
  <r>
    <s v="No"/>
    <s v="Travel_Rarely"/>
    <x v="0"/>
    <s v="Current Employees"/>
    <x v="2"/>
    <x v="4"/>
    <s v="STAFF-1164"/>
    <n v="1164"/>
    <x v="1"/>
    <x v="8"/>
    <x v="0"/>
    <s v="No"/>
    <s v="Y"/>
    <n v="2"/>
    <n v="-2"/>
    <n v="0"/>
    <n v="35"/>
    <n v="0"/>
    <m/>
    <n v="0"/>
    <n v="1"/>
    <n v="528"/>
    <n v="8"/>
    <x v="2"/>
    <n v="1"/>
    <n v="4"/>
    <n v="100"/>
    <n v="3"/>
    <n v="1"/>
    <n v="4"/>
    <n v="4323"/>
    <n v="7108"/>
    <n v="1"/>
    <n v="17"/>
    <n v="3"/>
    <n v="2"/>
    <n v="80"/>
    <n v="0"/>
    <n v="6"/>
    <n v="1"/>
    <n v="5"/>
    <n v="4"/>
    <n v="1"/>
    <n v="4"/>
  </r>
  <r>
    <s v="Yes"/>
    <s v="Travel_Rarely"/>
    <x v="2"/>
    <s v="Ex-Employees"/>
    <x v="0"/>
    <x v="0"/>
    <s v="STAFF-1165"/>
    <n v="1165"/>
    <x v="0"/>
    <x v="0"/>
    <x v="1"/>
    <s v="No"/>
    <s v="Y"/>
    <n v="3"/>
    <n v="-2"/>
    <n v="0"/>
    <n v="29"/>
    <n v="1"/>
    <n v="1"/>
    <n v="1"/>
    <n v="0"/>
    <n v="408"/>
    <n v="23"/>
    <x v="1"/>
    <n v="1"/>
    <n v="4"/>
    <n v="45"/>
    <n v="2"/>
    <n v="3"/>
    <n v="1"/>
    <n v="7336"/>
    <n v="11162"/>
    <n v="1"/>
    <n v="13"/>
    <n v="3"/>
    <n v="1"/>
    <n v="80"/>
    <n v="1"/>
    <n v="11"/>
    <n v="1"/>
    <n v="11"/>
    <n v="8"/>
    <n v="3"/>
    <n v="10"/>
  </r>
  <r>
    <s v="No"/>
    <s v="Travel_Frequently"/>
    <x v="0"/>
    <s v="Current Employees"/>
    <x v="1"/>
    <x v="2"/>
    <s v="STAFF-1166"/>
    <n v="1166"/>
    <x v="0"/>
    <x v="7"/>
    <x v="0"/>
    <s v="No"/>
    <s v="Y"/>
    <n v="3"/>
    <n v="-2"/>
    <n v="0"/>
    <n v="40"/>
    <n v="0"/>
    <m/>
    <n v="0"/>
    <n v="1"/>
    <n v="593"/>
    <n v="9"/>
    <x v="2"/>
    <n v="1"/>
    <n v="2"/>
    <n v="88"/>
    <n v="3"/>
    <n v="3"/>
    <n v="3"/>
    <n v="13499"/>
    <n v="13782"/>
    <n v="9"/>
    <n v="17"/>
    <n v="3"/>
    <n v="3"/>
    <n v="80"/>
    <n v="0"/>
    <n v="20"/>
    <n v="2"/>
    <n v="18"/>
    <n v="7"/>
    <n v="2"/>
    <n v="13"/>
  </r>
  <r>
    <s v="Yes"/>
    <s v="Travel_Frequently"/>
    <x v="0"/>
    <s v="Ex-Employees"/>
    <x v="0"/>
    <x v="0"/>
    <s v="STAFF-1167"/>
    <n v="1167"/>
    <x v="1"/>
    <x v="0"/>
    <x v="0"/>
    <s v="Yes"/>
    <s v="Y"/>
    <n v="2"/>
    <n v="-2"/>
    <n v="0"/>
    <n v="42"/>
    <n v="1"/>
    <n v="1"/>
    <n v="1"/>
    <n v="0"/>
    <n v="481"/>
    <n v="12"/>
    <x v="3"/>
    <n v="1"/>
    <n v="3"/>
    <n v="44"/>
    <n v="3"/>
    <n v="4"/>
    <n v="1"/>
    <n v="13758"/>
    <n v="2447"/>
    <n v="0"/>
    <n v="12"/>
    <n v="3"/>
    <n v="2"/>
    <n v="80"/>
    <n v="0"/>
    <n v="22"/>
    <n v="2"/>
    <n v="21"/>
    <n v="9"/>
    <n v="13"/>
    <n v="14"/>
  </r>
  <r>
    <s v="No"/>
    <s v="Travel_Rarely"/>
    <x v="0"/>
    <s v="Current Employees"/>
    <x v="0"/>
    <x v="3"/>
    <s v="STAFF-1171"/>
    <n v="1171"/>
    <x v="1"/>
    <x v="0"/>
    <x v="0"/>
    <s v="No"/>
    <s v="Y"/>
    <n v="3"/>
    <n v="-2"/>
    <n v="0"/>
    <n v="42"/>
    <n v="0"/>
    <m/>
    <n v="0"/>
    <n v="1"/>
    <n v="647"/>
    <n v="4"/>
    <x v="2"/>
    <n v="1"/>
    <n v="2"/>
    <n v="45"/>
    <n v="3"/>
    <n v="2"/>
    <n v="2"/>
    <n v="5155"/>
    <n v="2253"/>
    <n v="7"/>
    <n v="13"/>
    <n v="3"/>
    <n v="4"/>
    <n v="80"/>
    <n v="0"/>
    <n v="9"/>
    <n v="4"/>
    <n v="6"/>
    <n v="4"/>
    <n v="1"/>
    <n v="5"/>
  </r>
  <r>
    <s v="No"/>
    <s v="Travel_Rarely"/>
    <x v="0"/>
    <s v="Current Employees"/>
    <x v="1"/>
    <x v="2"/>
    <s v="STAFF-1172"/>
    <n v="1172"/>
    <x v="1"/>
    <x v="2"/>
    <x v="1"/>
    <s v="No"/>
    <s v="Y"/>
    <n v="2"/>
    <n v="-2"/>
    <n v="0"/>
    <n v="35"/>
    <n v="0"/>
    <m/>
    <n v="0"/>
    <n v="1"/>
    <n v="982"/>
    <n v="1"/>
    <x v="2"/>
    <n v="1"/>
    <n v="4"/>
    <n v="58"/>
    <n v="2"/>
    <n v="1"/>
    <n v="3"/>
    <n v="2258"/>
    <n v="16340"/>
    <n v="6"/>
    <n v="12"/>
    <n v="3"/>
    <n v="2"/>
    <n v="80"/>
    <n v="1"/>
    <n v="10"/>
    <n v="3"/>
    <n v="8"/>
    <n v="0"/>
    <n v="1"/>
    <n v="7"/>
  </r>
  <r>
    <s v="No"/>
    <s v="Travel_Rarely"/>
    <x v="4"/>
    <s v="Current Employees"/>
    <x v="1"/>
    <x v="2"/>
    <s v="STAFF-1173"/>
    <n v="1173"/>
    <x v="1"/>
    <x v="2"/>
    <x v="0"/>
    <s v="No"/>
    <s v="Y"/>
    <n v="2"/>
    <n v="-2"/>
    <n v="0"/>
    <n v="24"/>
    <n v="0"/>
    <m/>
    <n v="0"/>
    <n v="1"/>
    <n v="477"/>
    <n v="24"/>
    <x v="3"/>
    <n v="1"/>
    <n v="4"/>
    <n v="49"/>
    <n v="3"/>
    <n v="1"/>
    <n v="2"/>
    <n v="3597"/>
    <n v="6409"/>
    <n v="8"/>
    <n v="22"/>
    <n v="4"/>
    <n v="4"/>
    <n v="80"/>
    <n v="0"/>
    <n v="6"/>
    <n v="3"/>
    <n v="4"/>
    <n v="3"/>
    <n v="1"/>
    <n v="2"/>
  </r>
  <r>
    <s v="Yes"/>
    <s v="Travel_Rarely"/>
    <x v="2"/>
    <s v="Ex-Employees"/>
    <x v="1"/>
    <x v="0"/>
    <s v="STAFF-1175"/>
    <n v="1175"/>
    <x v="0"/>
    <x v="2"/>
    <x v="1"/>
    <s v="Yes"/>
    <s v="Y"/>
    <n v="4"/>
    <n v="-2"/>
    <n v="0"/>
    <n v="28"/>
    <n v="1"/>
    <n v="1"/>
    <n v="1"/>
    <n v="0"/>
    <n v="1485"/>
    <n v="12"/>
    <x v="1"/>
    <n v="1"/>
    <n v="3"/>
    <n v="79"/>
    <n v="3"/>
    <n v="1"/>
    <n v="1"/>
    <n v="2515"/>
    <n v="22955"/>
    <n v="1"/>
    <n v="11"/>
    <n v="3"/>
    <n v="4"/>
    <n v="80"/>
    <n v="0"/>
    <n v="1"/>
    <n v="2"/>
    <n v="1"/>
    <n v="1"/>
    <n v="0"/>
    <n v="0"/>
  </r>
  <r>
    <s v="No"/>
    <s v="Travel_Rarely"/>
    <x v="2"/>
    <s v="Current Employees"/>
    <x v="1"/>
    <x v="2"/>
    <s v="STAFF-1177"/>
    <n v="1177"/>
    <x v="1"/>
    <x v="2"/>
    <x v="1"/>
    <s v="No"/>
    <s v="Y"/>
    <n v="2"/>
    <n v="-2"/>
    <n v="0"/>
    <n v="26"/>
    <n v="0"/>
    <m/>
    <n v="0"/>
    <n v="1"/>
    <n v="1384"/>
    <n v="3"/>
    <x v="2"/>
    <n v="1"/>
    <n v="1"/>
    <n v="82"/>
    <n v="4"/>
    <n v="1"/>
    <n v="4"/>
    <n v="4420"/>
    <n v="13421"/>
    <n v="1"/>
    <n v="22"/>
    <n v="4"/>
    <n v="2"/>
    <n v="80"/>
    <n v="1"/>
    <n v="8"/>
    <n v="3"/>
    <n v="8"/>
    <n v="7"/>
    <n v="0"/>
    <n v="7"/>
  </r>
  <r>
    <s v="No"/>
    <s v="Travel_Rarely"/>
    <x v="2"/>
    <s v="Current Employees"/>
    <x v="0"/>
    <x v="3"/>
    <s v="STAFF-1179"/>
    <n v="1179"/>
    <x v="1"/>
    <x v="0"/>
    <x v="1"/>
    <s v="No"/>
    <s v="Y"/>
    <n v="3"/>
    <n v="-2"/>
    <n v="0"/>
    <n v="30"/>
    <n v="0"/>
    <m/>
    <n v="0"/>
    <n v="1"/>
    <n v="852"/>
    <n v="10"/>
    <x v="3"/>
    <n v="1"/>
    <n v="3"/>
    <n v="72"/>
    <n v="2"/>
    <n v="2"/>
    <n v="2"/>
    <n v="6578"/>
    <n v="2706"/>
    <n v="1"/>
    <n v="18"/>
    <n v="3"/>
    <n v="1"/>
    <n v="80"/>
    <n v="1"/>
    <n v="10"/>
    <n v="3"/>
    <n v="10"/>
    <n v="3"/>
    <n v="1"/>
    <n v="4"/>
  </r>
  <r>
    <s v="No"/>
    <s v="Travel_Frequently"/>
    <x v="0"/>
    <s v="Current Employees"/>
    <x v="1"/>
    <x v="2"/>
    <s v="STAFF-1180"/>
    <n v="1180"/>
    <x v="0"/>
    <x v="1"/>
    <x v="1"/>
    <s v="Yes"/>
    <s v="Y"/>
    <n v="3"/>
    <n v="-2"/>
    <n v="0"/>
    <n v="40"/>
    <n v="0"/>
    <m/>
    <n v="0"/>
    <n v="1"/>
    <n v="902"/>
    <n v="26"/>
    <x v="0"/>
    <n v="1"/>
    <n v="3"/>
    <n v="92"/>
    <n v="2"/>
    <n v="2"/>
    <n v="4"/>
    <n v="4422"/>
    <n v="21203"/>
    <n v="3"/>
    <n v="13"/>
    <n v="3"/>
    <n v="4"/>
    <n v="80"/>
    <n v="1"/>
    <n v="16"/>
    <n v="1"/>
    <n v="1"/>
    <n v="1"/>
    <n v="0"/>
    <n v="0"/>
  </r>
  <r>
    <s v="No"/>
    <s v="Travel_Rarely"/>
    <x v="0"/>
    <s v="Current Employees"/>
    <x v="1"/>
    <x v="0"/>
    <s v="STAFF-1182"/>
    <n v="1182"/>
    <x v="1"/>
    <x v="3"/>
    <x v="2"/>
    <s v="No"/>
    <s v="Y"/>
    <n v="2"/>
    <n v="-2"/>
    <n v="0"/>
    <n v="35"/>
    <n v="0"/>
    <m/>
    <n v="0"/>
    <n v="1"/>
    <n v="819"/>
    <n v="2"/>
    <x v="3"/>
    <n v="1"/>
    <n v="3"/>
    <n v="44"/>
    <n v="2"/>
    <n v="3"/>
    <n v="1"/>
    <n v="10274"/>
    <n v="19588"/>
    <n v="2"/>
    <n v="18"/>
    <n v="3"/>
    <n v="2"/>
    <n v="80"/>
    <n v="1"/>
    <n v="15"/>
    <n v="4"/>
    <n v="7"/>
    <n v="7"/>
    <n v="6"/>
    <n v="4"/>
  </r>
  <r>
    <s v="No"/>
    <s v="Travel_Frequently"/>
    <x v="2"/>
    <s v="Current Employees"/>
    <x v="1"/>
    <x v="2"/>
    <s v="STAFF-1184"/>
    <n v="1184"/>
    <x v="1"/>
    <x v="4"/>
    <x v="0"/>
    <s v="No"/>
    <s v="Y"/>
    <n v="3"/>
    <n v="-2"/>
    <n v="0"/>
    <n v="34"/>
    <n v="0"/>
    <m/>
    <n v="0"/>
    <n v="1"/>
    <n v="669"/>
    <n v="1"/>
    <x v="3"/>
    <n v="1"/>
    <n v="4"/>
    <n v="97"/>
    <n v="2"/>
    <n v="2"/>
    <n v="3"/>
    <n v="5343"/>
    <n v="25755"/>
    <n v="0"/>
    <n v="20"/>
    <n v="4"/>
    <n v="3"/>
    <n v="80"/>
    <n v="0"/>
    <n v="14"/>
    <n v="3"/>
    <n v="13"/>
    <n v="9"/>
    <n v="4"/>
    <n v="9"/>
  </r>
  <r>
    <s v="No"/>
    <s v="Travel_Frequently"/>
    <x v="0"/>
    <s v="Current Employees"/>
    <x v="1"/>
    <x v="1"/>
    <s v="STAFF-1185"/>
    <n v="1185"/>
    <x v="1"/>
    <x v="2"/>
    <x v="1"/>
    <s v="No"/>
    <s v="Y"/>
    <n v="2"/>
    <n v="-2"/>
    <n v="0"/>
    <n v="35"/>
    <n v="0"/>
    <m/>
    <n v="0"/>
    <n v="1"/>
    <n v="636"/>
    <n v="4"/>
    <x v="2"/>
    <n v="1"/>
    <n v="4"/>
    <n v="47"/>
    <n v="2"/>
    <n v="1"/>
    <n v="4"/>
    <n v="2376"/>
    <n v="26537"/>
    <n v="1"/>
    <n v="13"/>
    <n v="3"/>
    <n v="2"/>
    <n v="80"/>
    <n v="1"/>
    <n v="2"/>
    <n v="4"/>
    <n v="2"/>
    <n v="2"/>
    <n v="2"/>
    <n v="2"/>
  </r>
  <r>
    <s v="Yes"/>
    <s v="Travel_Rarely"/>
    <x v="0"/>
    <s v="Ex-Employees"/>
    <x v="0"/>
    <x v="3"/>
    <s v="STAFF-1188"/>
    <n v="1188"/>
    <x v="0"/>
    <x v="0"/>
    <x v="0"/>
    <s v="No"/>
    <s v="Y"/>
    <n v="2"/>
    <n v="-2"/>
    <n v="0"/>
    <n v="43"/>
    <n v="1"/>
    <n v="1"/>
    <n v="1"/>
    <n v="0"/>
    <n v="1372"/>
    <n v="9"/>
    <x v="3"/>
    <n v="1"/>
    <n v="1"/>
    <n v="85"/>
    <n v="1"/>
    <n v="2"/>
    <n v="2"/>
    <n v="5346"/>
    <n v="9489"/>
    <n v="8"/>
    <n v="13"/>
    <n v="3"/>
    <n v="2"/>
    <n v="80"/>
    <n v="0"/>
    <n v="7"/>
    <n v="2"/>
    <n v="4"/>
    <n v="3"/>
    <n v="1"/>
    <n v="3"/>
  </r>
  <r>
    <s v="No"/>
    <s v="Non-Travel"/>
    <x v="2"/>
    <s v="Current Employees"/>
    <x v="0"/>
    <x v="0"/>
    <s v="STAFF-1190"/>
    <n v="1190"/>
    <x v="0"/>
    <x v="6"/>
    <x v="2"/>
    <s v="No"/>
    <s v="Y"/>
    <n v="3"/>
    <n v="-2"/>
    <n v="0"/>
    <n v="32"/>
    <n v="0"/>
    <m/>
    <n v="0"/>
    <n v="1"/>
    <n v="862"/>
    <n v="2"/>
    <x v="1"/>
    <n v="1"/>
    <n v="3"/>
    <n v="76"/>
    <n v="3"/>
    <n v="1"/>
    <n v="1"/>
    <n v="2827"/>
    <n v="14947"/>
    <n v="1"/>
    <n v="12"/>
    <n v="3"/>
    <n v="3"/>
    <n v="80"/>
    <n v="3"/>
    <n v="1"/>
    <n v="3"/>
    <n v="1"/>
    <n v="0"/>
    <n v="0"/>
    <n v="0"/>
  </r>
  <r>
    <s v="No"/>
    <s v="Travel_Rarely"/>
    <x v="3"/>
    <s v="Current Employees"/>
    <x v="1"/>
    <x v="4"/>
    <s v="STAFF-1191"/>
    <n v="1191"/>
    <x v="0"/>
    <x v="5"/>
    <x v="2"/>
    <s v="No"/>
    <s v="Y"/>
    <n v="2"/>
    <n v="-2"/>
    <n v="0"/>
    <n v="56"/>
    <n v="0"/>
    <m/>
    <n v="0"/>
    <n v="1"/>
    <n v="718"/>
    <n v="4"/>
    <x v="2"/>
    <n v="1"/>
    <n v="4"/>
    <n v="92"/>
    <n v="3"/>
    <n v="5"/>
    <n v="4"/>
    <n v="19943"/>
    <n v="18575"/>
    <n v="4"/>
    <n v="13"/>
    <n v="3"/>
    <n v="4"/>
    <n v="80"/>
    <n v="1"/>
    <n v="28"/>
    <n v="3"/>
    <n v="5"/>
    <n v="2"/>
    <n v="4"/>
    <n v="2"/>
  </r>
  <r>
    <s v="No"/>
    <s v="Travel_Rarely"/>
    <x v="2"/>
    <s v="Current Employees"/>
    <x v="1"/>
    <x v="2"/>
    <s v="STAFF-1192"/>
    <n v="1192"/>
    <x v="0"/>
    <x v="2"/>
    <x v="1"/>
    <s v="No"/>
    <s v="Y"/>
    <n v="5"/>
    <n v="-2"/>
    <n v="0"/>
    <n v="29"/>
    <n v="0"/>
    <m/>
    <n v="0"/>
    <n v="1"/>
    <n v="1401"/>
    <n v="6"/>
    <x v="1"/>
    <n v="1"/>
    <n v="2"/>
    <n v="54"/>
    <n v="3"/>
    <n v="1"/>
    <n v="4"/>
    <n v="3131"/>
    <n v="26342"/>
    <n v="1"/>
    <n v="13"/>
    <n v="3"/>
    <n v="1"/>
    <n v="80"/>
    <n v="1"/>
    <n v="10"/>
    <n v="3"/>
    <n v="10"/>
    <n v="8"/>
    <n v="0"/>
    <n v="8"/>
  </r>
  <r>
    <s v="No"/>
    <s v="Travel_Rarely"/>
    <x v="4"/>
    <s v="Current Employees"/>
    <x v="1"/>
    <x v="0"/>
    <s v="STAFF-1193"/>
    <n v="1193"/>
    <x v="1"/>
    <x v="1"/>
    <x v="0"/>
    <s v="No"/>
    <s v="Y"/>
    <n v="4"/>
    <n v="-2"/>
    <n v="0"/>
    <n v="19"/>
    <n v="0"/>
    <m/>
    <n v="0"/>
    <n v="1"/>
    <n v="645"/>
    <n v="9"/>
    <x v="0"/>
    <n v="1"/>
    <n v="3"/>
    <n v="54"/>
    <n v="3"/>
    <n v="1"/>
    <n v="1"/>
    <n v="2552"/>
    <n v="7172"/>
    <n v="1"/>
    <n v="25"/>
    <n v="4"/>
    <n v="3"/>
    <n v="80"/>
    <n v="0"/>
    <n v="1"/>
    <n v="3"/>
    <n v="1"/>
    <n v="1"/>
    <n v="0"/>
    <n v="0"/>
  </r>
  <r>
    <s v="No"/>
    <s v="Travel_Rarely"/>
    <x v="1"/>
    <s v="Current Employees"/>
    <x v="1"/>
    <x v="2"/>
    <s v="STAFF-1195"/>
    <n v="1195"/>
    <x v="0"/>
    <x v="1"/>
    <x v="1"/>
    <s v="Yes"/>
    <s v="Y"/>
    <n v="2"/>
    <n v="-2"/>
    <n v="0"/>
    <n v="45"/>
    <n v="0"/>
    <m/>
    <n v="0"/>
    <n v="1"/>
    <n v="1457"/>
    <n v="7"/>
    <x v="3"/>
    <n v="1"/>
    <n v="1"/>
    <n v="83"/>
    <n v="3"/>
    <n v="1"/>
    <n v="3"/>
    <n v="4477"/>
    <n v="20100"/>
    <n v="4"/>
    <n v="19"/>
    <n v="3"/>
    <n v="3"/>
    <n v="80"/>
    <n v="1"/>
    <n v="7"/>
    <n v="2"/>
    <n v="3"/>
    <n v="2"/>
    <n v="0"/>
    <n v="2"/>
  </r>
  <r>
    <s v="No"/>
    <s v="Travel_Rarely"/>
    <x v="0"/>
    <s v="Current Employees"/>
    <x v="1"/>
    <x v="0"/>
    <s v="STAFF-1196"/>
    <n v="1196"/>
    <x v="0"/>
    <x v="3"/>
    <x v="1"/>
    <s v="No"/>
    <s v="Y"/>
    <n v="2"/>
    <n v="-2"/>
    <n v="0"/>
    <n v="37"/>
    <n v="0"/>
    <m/>
    <n v="0"/>
    <n v="1"/>
    <n v="977"/>
    <n v="1"/>
    <x v="3"/>
    <n v="1"/>
    <n v="4"/>
    <n v="56"/>
    <n v="2"/>
    <n v="2"/>
    <n v="1"/>
    <n v="6474"/>
    <n v="9961"/>
    <n v="1"/>
    <n v="13"/>
    <n v="3"/>
    <n v="2"/>
    <n v="80"/>
    <n v="1"/>
    <n v="14"/>
    <n v="2"/>
    <n v="14"/>
    <n v="8"/>
    <n v="3"/>
    <n v="11"/>
  </r>
  <r>
    <s v="No"/>
    <s v="Travel_Rarely"/>
    <x v="4"/>
    <s v="Current Employees"/>
    <x v="1"/>
    <x v="0"/>
    <s v="STAFF-1198"/>
    <n v="1198"/>
    <x v="1"/>
    <x v="2"/>
    <x v="0"/>
    <s v="No"/>
    <s v="Y"/>
    <n v="2"/>
    <n v="-2"/>
    <n v="0"/>
    <n v="20"/>
    <n v="0"/>
    <m/>
    <n v="0"/>
    <n v="1"/>
    <n v="805"/>
    <n v="3"/>
    <x v="3"/>
    <n v="1"/>
    <n v="1"/>
    <n v="87"/>
    <n v="2"/>
    <n v="1"/>
    <n v="1"/>
    <n v="3033"/>
    <n v="12828"/>
    <n v="1"/>
    <n v="12"/>
    <n v="3"/>
    <n v="1"/>
    <n v="80"/>
    <n v="0"/>
    <n v="2"/>
    <n v="2"/>
    <n v="2"/>
    <n v="2"/>
    <n v="1"/>
    <n v="2"/>
  </r>
  <r>
    <s v="Yes"/>
    <s v="Travel_Rarely"/>
    <x v="0"/>
    <s v="Ex-Employees"/>
    <x v="1"/>
    <x v="0"/>
    <s v="STAFF-1200"/>
    <n v="1200"/>
    <x v="1"/>
    <x v="1"/>
    <x v="0"/>
    <s v="Yes"/>
    <s v="Y"/>
    <n v="4"/>
    <n v="-2"/>
    <n v="0"/>
    <n v="44"/>
    <n v="1"/>
    <n v="1"/>
    <n v="1"/>
    <n v="0"/>
    <n v="1097"/>
    <n v="10"/>
    <x v="2"/>
    <n v="1"/>
    <n v="3"/>
    <n v="96"/>
    <n v="3"/>
    <n v="1"/>
    <n v="1"/>
    <n v="2936"/>
    <n v="10826"/>
    <n v="1"/>
    <n v="11"/>
    <n v="3"/>
    <n v="3"/>
    <n v="80"/>
    <n v="0"/>
    <n v="6"/>
    <n v="3"/>
    <n v="6"/>
    <n v="4"/>
    <n v="0"/>
    <n v="2"/>
  </r>
  <r>
    <s v="No"/>
    <s v="Travel_Rarely"/>
    <x v="1"/>
    <s v="Current Employees"/>
    <x v="1"/>
    <x v="2"/>
    <s v="STAFF-1201"/>
    <n v="1201"/>
    <x v="0"/>
    <x v="5"/>
    <x v="2"/>
    <s v="No"/>
    <s v="Y"/>
    <n v="6"/>
    <n v="-2"/>
    <n v="0"/>
    <n v="53"/>
    <n v="0"/>
    <m/>
    <n v="0"/>
    <n v="1"/>
    <n v="1223"/>
    <n v="7"/>
    <x v="0"/>
    <n v="1"/>
    <n v="4"/>
    <n v="50"/>
    <n v="3"/>
    <n v="5"/>
    <n v="3"/>
    <n v="18606"/>
    <n v="18640"/>
    <n v="3"/>
    <n v="18"/>
    <n v="3"/>
    <n v="2"/>
    <n v="80"/>
    <n v="1"/>
    <n v="26"/>
    <n v="3"/>
    <n v="7"/>
    <n v="7"/>
    <n v="4"/>
    <n v="7"/>
  </r>
  <r>
    <s v="No"/>
    <s v="Travel_Rarely"/>
    <x v="2"/>
    <s v="Current Employees"/>
    <x v="1"/>
    <x v="0"/>
    <s v="STAFF-1202"/>
    <n v="1202"/>
    <x v="0"/>
    <x v="1"/>
    <x v="1"/>
    <s v="Yes"/>
    <s v="Y"/>
    <n v="2"/>
    <n v="-2"/>
    <n v="0"/>
    <n v="29"/>
    <n v="0"/>
    <m/>
    <n v="0"/>
    <n v="1"/>
    <n v="942"/>
    <n v="15"/>
    <x v="1"/>
    <n v="1"/>
    <n v="2"/>
    <n v="69"/>
    <n v="1"/>
    <n v="1"/>
    <n v="1"/>
    <n v="2168"/>
    <n v="26933"/>
    <n v="0"/>
    <n v="18"/>
    <n v="3"/>
    <n v="1"/>
    <n v="80"/>
    <n v="1"/>
    <n v="6"/>
    <n v="2"/>
    <n v="5"/>
    <n v="4"/>
    <n v="1"/>
    <n v="3"/>
  </r>
  <r>
    <s v="Yes"/>
    <s v="Travel_Frequently"/>
    <x v="4"/>
    <s v="Ex-Employees"/>
    <x v="1"/>
    <x v="0"/>
    <s v="STAFF-1203"/>
    <n v="1203"/>
    <x v="1"/>
    <x v="1"/>
    <x v="1"/>
    <s v="Yes"/>
    <s v="Y"/>
    <n v="5"/>
    <n v="-2"/>
    <n v="0"/>
    <n v="22"/>
    <n v="1"/>
    <n v="1"/>
    <n v="1"/>
    <n v="0"/>
    <n v="1256"/>
    <n v="3"/>
    <x v="2"/>
    <n v="1"/>
    <n v="3"/>
    <n v="48"/>
    <n v="2"/>
    <n v="1"/>
    <n v="1"/>
    <n v="2853"/>
    <n v="4223"/>
    <n v="0"/>
    <n v="11"/>
    <n v="3"/>
    <n v="2"/>
    <n v="80"/>
    <n v="1"/>
    <n v="1"/>
    <n v="3"/>
    <n v="0"/>
    <n v="0"/>
    <n v="0"/>
    <n v="0"/>
  </r>
  <r>
    <s v="No"/>
    <s v="Travel_Rarely"/>
    <x v="1"/>
    <s v="Current Employees"/>
    <x v="0"/>
    <x v="3"/>
    <s v="STAFF-1204"/>
    <n v="1204"/>
    <x v="0"/>
    <x v="5"/>
    <x v="1"/>
    <s v="No"/>
    <s v="Y"/>
    <n v="2"/>
    <n v="-2"/>
    <n v="0"/>
    <n v="46"/>
    <n v="0"/>
    <m/>
    <n v="0"/>
    <n v="1"/>
    <n v="1402"/>
    <n v="2"/>
    <x v="3"/>
    <n v="1"/>
    <n v="3"/>
    <n v="69"/>
    <n v="3"/>
    <n v="4"/>
    <n v="2"/>
    <n v="17048"/>
    <n v="24097"/>
    <n v="8"/>
    <n v="23"/>
    <n v="4"/>
    <n v="1"/>
    <n v="80"/>
    <n v="0"/>
    <n v="28"/>
    <n v="3"/>
    <n v="26"/>
    <n v="15"/>
    <n v="15"/>
    <n v="9"/>
  </r>
  <r>
    <s v="No"/>
    <s v="Non-Travel"/>
    <x v="0"/>
    <s v="Current Employees"/>
    <x v="1"/>
    <x v="0"/>
    <s v="STAFF-1206"/>
    <n v="1206"/>
    <x v="1"/>
    <x v="1"/>
    <x v="0"/>
    <s v="No"/>
    <s v="Y"/>
    <n v="3"/>
    <n v="-2"/>
    <n v="0"/>
    <n v="44"/>
    <n v="0"/>
    <m/>
    <n v="0"/>
    <n v="1"/>
    <n v="111"/>
    <n v="17"/>
    <x v="3"/>
    <n v="1"/>
    <n v="4"/>
    <n v="74"/>
    <n v="1"/>
    <n v="1"/>
    <n v="1"/>
    <n v="2290"/>
    <n v="4279"/>
    <n v="2"/>
    <n v="13"/>
    <n v="3"/>
    <n v="4"/>
    <n v="80"/>
    <n v="0"/>
    <n v="6"/>
    <n v="3"/>
    <n v="0"/>
    <n v="0"/>
    <n v="0"/>
    <n v="0"/>
  </r>
  <r>
    <s v="No"/>
    <s v="Travel_Rarely"/>
    <x v="2"/>
    <s v="Current Employees"/>
    <x v="2"/>
    <x v="5"/>
    <s v="STAFF-1207"/>
    <n v="1207"/>
    <x v="1"/>
    <x v="8"/>
    <x v="1"/>
    <s v="No"/>
    <s v="Y"/>
    <n v="2"/>
    <n v="-2"/>
    <n v="0"/>
    <n v="33"/>
    <n v="0"/>
    <m/>
    <n v="0"/>
    <n v="1"/>
    <n v="147"/>
    <n v="2"/>
    <x v="3"/>
    <n v="1"/>
    <n v="2"/>
    <n v="99"/>
    <n v="3"/>
    <n v="1"/>
    <n v="3"/>
    <n v="3600"/>
    <n v="8429"/>
    <n v="1"/>
    <n v="13"/>
    <n v="3"/>
    <n v="4"/>
    <n v="80"/>
    <n v="1"/>
    <n v="5"/>
    <n v="3"/>
    <n v="5"/>
    <n v="4"/>
    <n v="1"/>
    <n v="4"/>
  </r>
  <r>
    <s v="Yes"/>
    <s v="Non-Travel"/>
    <x v="0"/>
    <s v="Ex-Employees"/>
    <x v="1"/>
    <x v="0"/>
    <s v="STAFF-1210"/>
    <n v="1210"/>
    <x v="1"/>
    <x v="1"/>
    <x v="2"/>
    <s v="No"/>
    <s v="Y"/>
    <n v="2"/>
    <n v="-2"/>
    <n v="0"/>
    <n v="41"/>
    <n v="1"/>
    <n v="1"/>
    <n v="1"/>
    <n v="0"/>
    <n v="906"/>
    <n v="5"/>
    <x v="0"/>
    <n v="1"/>
    <n v="1"/>
    <n v="95"/>
    <n v="2"/>
    <n v="1"/>
    <n v="1"/>
    <n v="2107"/>
    <n v="20293"/>
    <n v="6"/>
    <n v="17"/>
    <n v="3"/>
    <n v="1"/>
    <n v="80"/>
    <n v="1"/>
    <n v="5"/>
    <n v="1"/>
    <n v="1"/>
    <n v="0"/>
    <n v="0"/>
    <n v="0"/>
  </r>
  <r>
    <s v="No"/>
    <s v="Travel_Rarely"/>
    <x v="2"/>
    <s v="Current Employees"/>
    <x v="0"/>
    <x v="0"/>
    <s v="STAFF-1211"/>
    <n v="1211"/>
    <x v="1"/>
    <x v="0"/>
    <x v="2"/>
    <s v="No"/>
    <s v="Y"/>
    <n v="3"/>
    <n v="-2"/>
    <n v="0"/>
    <n v="30"/>
    <n v="0"/>
    <m/>
    <n v="0"/>
    <n v="1"/>
    <n v="1329"/>
    <n v="29"/>
    <x v="2"/>
    <n v="1"/>
    <n v="3"/>
    <n v="61"/>
    <n v="3"/>
    <n v="2"/>
    <n v="1"/>
    <n v="4115"/>
    <n v="13192"/>
    <n v="8"/>
    <n v="19"/>
    <n v="3"/>
    <n v="3"/>
    <n v="80"/>
    <n v="3"/>
    <n v="8"/>
    <n v="3"/>
    <n v="4"/>
    <n v="3"/>
    <n v="0"/>
    <n v="3"/>
  </r>
  <r>
    <s v="No"/>
    <s v="Travel_Frequently"/>
    <x v="0"/>
    <s v="Current Employees"/>
    <x v="0"/>
    <x v="2"/>
    <s v="STAFF-1212"/>
    <n v="1212"/>
    <x v="1"/>
    <x v="0"/>
    <x v="1"/>
    <s v="No"/>
    <s v="Y"/>
    <n v="2"/>
    <n v="-2"/>
    <n v="0"/>
    <n v="40"/>
    <n v="0"/>
    <m/>
    <n v="0"/>
    <n v="1"/>
    <n v="1184"/>
    <n v="2"/>
    <x v="2"/>
    <n v="1"/>
    <n v="2"/>
    <n v="62"/>
    <n v="3"/>
    <n v="2"/>
    <n v="2"/>
    <n v="4327"/>
    <n v="25440"/>
    <n v="5"/>
    <n v="12"/>
    <n v="3"/>
    <n v="4"/>
    <n v="80"/>
    <n v="3"/>
    <n v="5"/>
    <n v="3"/>
    <n v="0"/>
    <n v="0"/>
    <n v="0"/>
    <n v="0"/>
  </r>
  <r>
    <s v="No"/>
    <s v="Travel_Frequently"/>
    <x v="1"/>
    <s v="Current Employees"/>
    <x v="1"/>
    <x v="2"/>
    <s v="STAFF-1215"/>
    <n v="1215"/>
    <x v="0"/>
    <x v="5"/>
    <x v="1"/>
    <s v="No"/>
    <s v="Y"/>
    <n v="3"/>
    <n v="-2"/>
    <n v="0"/>
    <n v="50"/>
    <n v="0"/>
    <m/>
    <n v="0"/>
    <n v="1"/>
    <n v="1421"/>
    <n v="2"/>
    <x v="3"/>
    <n v="1"/>
    <n v="4"/>
    <n v="30"/>
    <n v="3"/>
    <n v="4"/>
    <n v="3"/>
    <n v="17856"/>
    <n v="9490"/>
    <n v="2"/>
    <n v="22"/>
    <n v="4"/>
    <n v="3"/>
    <n v="80"/>
    <n v="1"/>
    <n v="32"/>
    <n v="3"/>
    <n v="2"/>
    <n v="2"/>
    <n v="2"/>
    <n v="2"/>
  </r>
  <r>
    <s v="No"/>
    <s v="Travel_Rarely"/>
    <x v="2"/>
    <s v="Current Employees"/>
    <x v="1"/>
    <x v="2"/>
    <s v="STAFF-1216"/>
    <n v="1216"/>
    <x v="1"/>
    <x v="2"/>
    <x v="1"/>
    <s v="No"/>
    <s v="Y"/>
    <n v="2"/>
    <n v="-2"/>
    <n v="0"/>
    <n v="28"/>
    <n v="0"/>
    <m/>
    <n v="0"/>
    <n v="1"/>
    <n v="1179"/>
    <n v="19"/>
    <x v="2"/>
    <n v="1"/>
    <n v="4"/>
    <n v="78"/>
    <n v="2"/>
    <n v="1"/>
    <n v="3"/>
    <n v="3196"/>
    <n v="12449"/>
    <n v="1"/>
    <n v="12"/>
    <n v="3"/>
    <n v="3"/>
    <n v="80"/>
    <n v="3"/>
    <n v="6"/>
    <n v="3"/>
    <n v="6"/>
    <n v="5"/>
    <n v="3"/>
    <n v="3"/>
  </r>
  <r>
    <s v="No"/>
    <s v="Travel_Rarely"/>
    <x v="1"/>
    <s v="Current Employees"/>
    <x v="1"/>
    <x v="0"/>
    <s v="STAFF-1217"/>
    <n v="1217"/>
    <x v="1"/>
    <x v="7"/>
    <x v="1"/>
    <s v="No"/>
    <s v="Y"/>
    <n v="2"/>
    <n v="-2"/>
    <n v="0"/>
    <n v="46"/>
    <n v="0"/>
    <m/>
    <n v="0"/>
    <n v="1"/>
    <n v="1450"/>
    <n v="15"/>
    <x v="0"/>
    <n v="1"/>
    <n v="4"/>
    <n v="52"/>
    <n v="3"/>
    <n v="5"/>
    <n v="1"/>
    <n v="19081"/>
    <n v="10849"/>
    <n v="5"/>
    <n v="11"/>
    <n v="3"/>
    <n v="1"/>
    <n v="80"/>
    <n v="1"/>
    <n v="25"/>
    <n v="3"/>
    <n v="4"/>
    <n v="2"/>
    <n v="0"/>
    <n v="3"/>
  </r>
  <r>
    <s v="No"/>
    <s v="Travel_Rarely"/>
    <x v="0"/>
    <s v="Current Employees"/>
    <x v="0"/>
    <x v="0"/>
    <s v="STAFF-1218"/>
    <n v="1218"/>
    <x v="1"/>
    <x v="0"/>
    <x v="1"/>
    <s v="Yes"/>
    <s v="Y"/>
    <n v="2"/>
    <n v="-2"/>
    <n v="0"/>
    <n v="35"/>
    <n v="0"/>
    <m/>
    <n v="0"/>
    <n v="1"/>
    <n v="1361"/>
    <n v="17"/>
    <x v="2"/>
    <n v="1"/>
    <n v="3"/>
    <n v="94"/>
    <n v="3"/>
    <n v="2"/>
    <n v="1"/>
    <n v="8966"/>
    <n v="21026"/>
    <n v="3"/>
    <n v="15"/>
    <n v="3"/>
    <n v="4"/>
    <n v="80"/>
    <n v="3"/>
    <n v="15"/>
    <n v="3"/>
    <n v="7"/>
    <n v="7"/>
    <n v="1"/>
    <n v="7"/>
  </r>
  <r>
    <s v="Yes"/>
    <s v="Travel_Rarely"/>
    <x v="4"/>
    <s v="Ex-Employees"/>
    <x v="1"/>
    <x v="0"/>
    <s v="STAFF-1219"/>
    <n v="1219"/>
    <x v="0"/>
    <x v="2"/>
    <x v="1"/>
    <s v="No"/>
    <s v="Y"/>
    <n v="3"/>
    <n v="-2"/>
    <n v="0"/>
    <n v="24"/>
    <n v="1"/>
    <n v="1"/>
    <n v="1"/>
    <n v="0"/>
    <n v="984"/>
    <n v="17"/>
    <x v="0"/>
    <n v="1"/>
    <n v="4"/>
    <n v="97"/>
    <n v="3"/>
    <n v="1"/>
    <n v="1"/>
    <n v="2210"/>
    <n v="3372"/>
    <n v="1"/>
    <n v="13"/>
    <n v="3"/>
    <n v="1"/>
    <n v="80"/>
    <n v="1"/>
    <n v="1"/>
    <n v="1"/>
    <n v="1"/>
    <n v="0"/>
    <n v="0"/>
    <n v="0"/>
  </r>
  <r>
    <s v="No"/>
    <s v="Travel_Frequently"/>
    <x v="2"/>
    <s v="Current Employees"/>
    <x v="0"/>
    <x v="2"/>
    <s v="STAFF-1220"/>
    <n v="1220"/>
    <x v="0"/>
    <x v="0"/>
    <x v="1"/>
    <s v="No"/>
    <s v="Y"/>
    <n v="3"/>
    <n v="-2"/>
    <n v="0"/>
    <n v="33"/>
    <n v="0"/>
    <m/>
    <n v="0"/>
    <n v="1"/>
    <n v="1146"/>
    <n v="25"/>
    <x v="3"/>
    <n v="1"/>
    <n v="2"/>
    <n v="82"/>
    <n v="3"/>
    <n v="2"/>
    <n v="3"/>
    <n v="4539"/>
    <n v="4905"/>
    <n v="1"/>
    <n v="12"/>
    <n v="3"/>
    <n v="1"/>
    <n v="80"/>
    <n v="1"/>
    <n v="10"/>
    <n v="2"/>
    <n v="10"/>
    <n v="7"/>
    <n v="0"/>
    <n v="1"/>
  </r>
  <r>
    <s v="No"/>
    <s v="Travel_Rarely"/>
    <x v="0"/>
    <s v="Current Employees"/>
    <x v="1"/>
    <x v="0"/>
    <s v="STAFF-1221"/>
    <n v="1221"/>
    <x v="1"/>
    <x v="2"/>
    <x v="2"/>
    <s v="No"/>
    <s v="Y"/>
    <n v="4"/>
    <n v="-2"/>
    <n v="0"/>
    <n v="36"/>
    <n v="0"/>
    <m/>
    <n v="0"/>
    <n v="1"/>
    <n v="917"/>
    <n v="6"/>
    <x v="2"/>
    <n v="1"/>
    <n v="3"/>
    <n v="60"/>
    <n v="1"/>
    <n v="1"/>
    <n v="1"/>
    <n v="2741"/>
    <n v="6865"/>
    <n v="1"/>
    <n v="14"/>
    <n v="3"/>
    <n v="3"/>
    <n v="80"/>
    <n v="1"/>
    <n v="7"/>
    <n v="3"/>
    <n v="7"/>
    <n v="7"/>
    <n v="1"/>
    <n v="7"/>
  </r>
  <r>
    <s v="No"/>
    <s v="Travel_Rarely"/>
    <x v="2"/>
    <s v="Current Employees"/>
    <x v="1"/>
    <x v="0"/>
    <s v="STAFF-1224"/>
    <n v="1224"/>
    <x v="1"/>
    <x v="2"/>
    <x v="2"/>
    <s v="No"/>
    <s v="Y"/>
    <n v="4"/>
    <n v="-2"/>
    <n v="0"/>
    <n v="30"/>
    <n v="0"/>
    <m/>
    <n v="0"/>
    <n v="1"/>
    <n v="853"/>
    <n v="7"/>
    <x v="2"/>
    <n v="1"/>
    <n v="3"/>
    <n v="49"/>
    <n v="3"/>
    <n v="2"/>
    <n v="1"/>
    <n v="3491"/>
    <n v="11309"/>
    <n v="1"/>
    <n v="13"/>
    <n v="3"/>
    <n v="1"/>
    <n v="80"/>
    <n v="3"/>
    <n v="10"/>
    <n v="2"/>
    <n v="10"/>
    <n v="7"/>
    <n v="8"/>
    <n v="9"/>
  </r>
  <r>
    <s v="No"/>
    <s v="Travel_Rarely"/>
    <x v="0"/>
    <s v="Current Employees"/>
    <x v="1"/>
    <x v="1"/>
    <s v="STAFF-1225"/>
    <n v="1225"/>
    <x v="1"/>
    <x v="1"/>
    <x v="0"/>
    <s v="No"/>
    <s v="Y"/>
    <n v="3"/>
    <n v="-2"/>
    <n v="0"/>
    <n v="44"/>
    <n v="0"/>
    <m/>
    <n v="0"/>
    <n v="1"/>
    <n v="200"/>
    <n v="29"/>
    <x v="2"/>
    <n v="1"/>
    <n v="4"/>
    <n v="32"/>
    <n v="3"/>
    <n v="2"/>
    <n v="4"/>
    <n v="4541"/>
    <n v="7744"/>
    <n v="1"/>
    <n v="25"/>
    <n v="4"/>
    <n v="2"/>
    <n v="80"/>
    <n v="0"/>
    <n v="20"/>
    <n v="3"/>
    <n v="20"/>
    <n v="11"/>
    <n v="13"/>
    <n v="17"/>
  </r>
  <r>
    <s v="No"/>
    <s v="Travel_Rarely"/>
    <x v="4"/>
    <s v="Current Employees"/>
    <x v="0"/>
    <x v="3"/>
    <s v="STAFF-1226"/>
    <n v="1226"/>
    <x v="1"/>
    <x v="6"/>
    <x v="0"/>
    <s v="No"/>
    <s v="Y"/>
    <n v="2"/>
    <n v="-2"/>
    <n v="0"/>
    <n v="20"/>
    <n v="0"/>
    <m/>
    <n v="0"/>
    <n v="1"/>
    <n v="654"/>
    <n v="21"/>
    <x v="3"/>
    <n v="1"/>
    <n v="3"/>
    <n v="43"/>
    <n v="4"/>
    <n v="1"/>
    <n v="2"/>
    <n v="2678"/>
    <n v="5050"/>
    <n v="1"/>
    <n v="17"/>
    <n v="3"/>
    <n v="4"/>
    <n v="80"/>
    <n v="0"/>
    <n v="2"/>
    <n v="3"/>
    <n v="2"/>
    <n v="1"/>
    <n v="2"/>
    <n v="2"/>
  </r>
  <r>
    <s v="No"/>
    <s v="Travel_Rarely"/>
    <x v="1"/>
    <s v="Current Employees"/>
    <x v="1"/>
    <x v="4"/>
    <s v="STAFF-1228"/>
    <n v="1228"/>
    <x v="1"/>
    <x v="3"/>
    <x v="2"/>
    <s v="No"/>
    <s v="Y"/>
    <n v="3"/>
    <n v="-2"/>
    <n v="0"/>
    <n v="46"/>
    <n v="0"/>
    <m/>
    <n v="0"/>
    <n v="1"/>
    <n v="150"/>
    <n v="2"/>
    <x v="2"/>
    <n v="1"/>
    <n v="4"/>
    <n v="60"/>
    <n v="3"/>
    <n v="2"/>
    <n v="4"/>
    <n v="7379"/>
    <n v="17433"/>
    <n v="2"/>
    <n v="11"/>
    <n v="3"/>
    <n v="3"/>
    <n v="80"/>
    <n v="1"/>
    <n v="12"/>
    <n v="2"/>
    <n v="6"/>
    <n v="3"/>
    <n v="1"/>
    <n v="4"/>
  </r>
  <r>
    <s v="No"/>
    <s v="Non-Travel"/>
    <x v="0"/>
    <s v="Current Employees"/>
    <x v="2"/>
    <x v="2"/>
    <s v="STAFF-1231"/>
    <n v="1231"/>
    <x v="1"/>
    <x v="8"/>
    <x v="1"/>
    <s v="No"/>
    <s v="Y"/>
    <n v="3"/>
    <n v="-2"/>
    <n v="0"/>
    <n v="42"/>
    <n v="0"/>
    <m/>
    <n v="0"/>
    <n v="1"/>
    <n v="179"/>
    <n v="2"/>
    <x v="4"/>
    <n v="1"/>
    <n v="4"/>
    <n v="79"/>
    <n v="4"/>
    <n v="2"/>
    <n v="3"/>
    <n v="6272"/>
    <n v="12858"/>
    <n v="7"/>
    <n v="16"/>
    <n v="3"/>
    <n v="1"/>
    <n v="80"/>
    <n v="1"/>
    <n v="10"/>
    <n v="4"/>
    <n v="4"/>
    <n v="3"/>
    <n v="0"/>
    <n v="3"/>
  </r>
  <r>
    <s v="No"/>
    <s v="Travel_Rarely"/>
    <x v="3"/>
    <s v="Current Employees"/>
    <x v="0"/>
    <x v="3"/>
    <s v="STAFF-1233"/>
    <n v="1233"/>
    <x v="1"/>
    <x v="0"/>
    <x v="2"/>
    <s v="Yes"/>
    <s v="Y"/>
    <n v="3"/>
    <n v="-2"/>
    <n v="0"/>
    <n v="60"/>
    <n v="0"/>
    <m/>
    <n v="0"/>
    <n v="1"/>
    <n v="696"/>
    <n v="7"/>
    <x v="2"/>
    <n v="1"/>
    <n v="2"/>
    <n v="52"/>
    <n v="4"/>
    <n v="2"/>
    <n v="2"/>
    <n v="5220"/>
    <n v="10893"/>
    <n v="0"/>
    <n v="18"/>
    <n v="3"/>
    <n v="2"/>
    <n v="80"/>
    <n v="1"/>
    <n v="12"/>
    <n v="3"/>
    <n v="11"/>
    <n v="7"/>
    <n v="1"/>
    <n v="9"/>
  </r>
  <r>
    <s v="No"/>
    <s v="Travel_Frequently"/>
    <x v="2"/>
    <s v="Current Employees"/>
    <x v="1"/>
    <x v="1"/>
    <s v="STAFF-1234"/>
    <n v="1234"/>
    <x v="0"/>
    <x v="2"/>
    <x v="1"/>
    <s v="No"/>
    <s v="Y"/>
    <n v="2"/>
    <n v="-2"/>
    <n v="0"/>
    <n v="32"/>
    <n v="0"/>
    <m/>
    <n v="0"/>
    <n v="1"/>
    <n v="116"/>
    <n v="13"/>
    <x v="3"/>
    <n v="1"/>
    <n v="3"/>
    <n v="77"/>
    <n v="2"/>
    <n v="1"/>
    <n v="2"/>
    <n v="2743"/>
    <n v="7331"/>
    <n v="1"/>
    <n v="20"/>
    <n v="4"/>
    <n v="3"/>
    <n v="80"/>
    <n v="1"/>
    <n v="2"/>
    <n v="3"/>
    <n v="2"/>
    <n v="2"/>
    <n v="2"/>
    <n v="2"/>
  </r>
  <r>
    <s v="No"/>
    <s v="Travel_Frequently"/>
    <x v="2"/>
    <s v="Current Employees"/>
    <x v="1"/>
    <x v="0"/>
    <s v="STAFF-1235"/>
    <n v="1235"/>
    <x v="0"/>
    <x v="1"/>
    <x v="0"/>
    <s v="Yes"/>
    <s v="Y"/>
    <n v="2"/>
    <n v="-2"/>
    <n v="0"/>
    <n v="32"/>
    <n v="0"/>
    <m/>
    <n v="0"/>
    <n v="1"/>
    <n v="1316"/>
    <n v="2"/>
    <x v="0"/>
    <n v="1"/>
    <n v="4"/>
    <n v="38"/>
    <n v="3"/>
    <n v="2"/>
    <n v="1"/>
    <n v="4998"/>
    <n v="2338"/>
    <n v="4"/>
    <n v="14"/>
    <n v="3"/>
    <n v="4"/>
    <n v="80"/>
    <n v="0"/>
    <n v="10"/>
    <n v="3"/>
    <n v="8"/>
    <n v="7"/>
    <n v="0"/>
    <n v="7"/>
  </r>
  <r>
    <s v="No"/>
    <s v="Travel_Rarely"/>
    <x v="0"/>
    <s v="Current Employees"/>
    <x v="1"/>
    <x v="4"/>
    <s v="STAFF-1237"/>
    <n v="1237"/>
    <x v="0"/>
    <x v="3"/>
    <x v="2"/>
    <s v="Yes"/>
    <s v="Y"/>
    <n v="2"/>
    <n v="-2"/>
    <n v="0"/>
    <n v="36"/>
    <n v="0"/>
    <m/>
    <n v="0"/>
    <n v="1"/>
    <n v="363"/>
    <n v="1"/>
    <x v="3"/>
    <n v="1"/>
    <n v="4"/>
    <n v="77"/>
    <n v="1"/>
    <n v="3"/>
    <n v="4"/>
    <n v="10252"/>
    <n v="4235"/>
    <n v="2"/>
    <n v="21"/>
    <n v="4"/>
    <n v="3"/>
    <n v="80"/>
    <n v="1"/>
    <n v="17"/>
    <n v="3"/>
    <n v="7"/>
    <n v="7"/>
    <n v="7"/>
    <n v="7"/>
  </r>
  <r>
    <s v="No"/>
    <s v="Travel_Rarely"/>
    <x v="2"/>
    <s v="Current Employees"/>
    <x v="1"/>
    <x v="2"/>
    <s v="STAFF-1238"/>
    <n v="1238"/>
    <x v="1"/>
    <x v="1"/>
    <x v="1"/>
    <s v="No"/>
    <s v="Y"/>
    <n v="5"/>
    <n v="-2"/>
    <n v="0"/>
    <n v="33"/>
    <n v="0"/>
    <m/>
    <n v="0"/>
    <n v="1"/>
    <n v="117"/>
    <n v="9"/>
    <x v="3"/>
    <n v="1"/>
    <n v="1"/>
    <n v="60"/>
    <n v="3"/>
    <n v="1"/>
    <n v="4"/>
    <n v="2781"/>
    <n v="6311"/>
    <n v="0"/>
    <n v="13"/>
    <n v="3"/>
    <n v="2"/>
    <n v="80"/>
    <n v="1"/>
    <n v="15"/>
    <n v="3"/>
    <n v="14"/>
    <n v="10"/>
    <n v="4"/>
    <n v="10"/>
  </r>
  <r>
    <s v="No"/>
    <s v="Travel_Rarely"/>
    <x v="0"/>
    <s v="Current Employees"/>
    <x v="0"/>
    <x v="4"/>
    <s v="STAFF-1239"/>
    <n v="1239"/>
    <x v="0"/>
    <x v="0"/>
    <x v="2"/>
    <s v="No"/>
    <s v="Y"/>
    <n v="2"/>
    <n v="-2"/>
    <n v="0"/>
    <n v="40"/>
    <n v="0"/>
    <m/>
    <n v="0"/>
    <n v="1"/>
    <n v="107"/>
    <n v="10"/>
    <x v="3"/>
    <n v="1"/>
    <n v="4"/>
    <n v="84"/>
    <n v="2"/>
    <n v="2"/>
    <n v="4"/>
    <n v="6852"/>
    <n v="11591"/>
    <n v="7"/>
    <n v="12"/>
    <n v="3"/>
    <n v="2"/>
    <n v="80"/>
    <n v="1"/>
    <n v="7"/>
    <n v="4"/>
    <n v="5"/>
    <n v="1"/>
    <n v="1"/>
    <n v="3"/>
  </r>
  <r>
    <s v="No"/>
    <s v="Travel_Rarely"/>
    <x v="2"/>
    <s v="Current Employees"/>
    <x v="0"/>
    <x v="0"/>
    <s v="STAFF-1240"/>
    <n v="1240"/>
    <x v="1"/>
    <x v="0"/>
    <x v="0"/>
    <s v="No"/>
    <s v="Y"/>
    <n v="4"/>
    <n v="-2"/>
    <n v="0"/>
    <n v="25"/>
    <n v="0"/>
    <m/>
    <n v="0"/>
    <n v="1"/>
    <n v="1356"/>
    <n v="10"/>
    <x v="2"/>
    <n v="1"/>
    <n v="3"/>
    <n v="57"/>
    <n v="3"/>
    <n v="2"/>
    <n v="1"/>
    <n v="4950"/>
    <n v="20623"/>
    <n v="0"/>
    <n v="14"/>
    <n v="3"/>
    <n v="2"/>
    <n v="80"/>
    <n v="0"/>
    <n v="5"/>
    <n v="3"/>
    <n v="4"/>
    <n v="3"/>
    <n v="1"/>
    <n v="1"/>
  </r>
  <r>
    <s v="No"/>
    <s v="Travel_Rarely"/>
    <x v="2"/>
    <s v="Current Employees"/>
    <x v="1"/>
    <x v="2"/>
    <s v="STAFF-1241"/>
    <n v="1241"/>
    <x v="1"/>
    <x v="1"/>
    <x v="1"/>
    <s v="Yes"/>
    <s v="Y"/>
    <n v="2"/>
    <n v="-2"/>
    <n v="0"/>
    <n v="30"/>
    <n v="0"/>
    <m/>
    <n v="0"/>
    <n v="1"/>
    <n v="1465"/>
    <n v="1"/>
    <x v="3"/>
    <n v="1"/>
    <n v="4"/>
    <n v="63"/>
    <n v="3"/>
    <n v="1"/>
    <n v="2"/>
    <n v="3579"/>
    <n v="9369"/>
    <n v="0"/>
    <n v="21"/>
    <n v="4"/>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n v="3"/>
    <n v="3"/>
    <n v="80"/>
    <n v="0"/>
    <n v="20"/>
    <n v="3"/>
    <n v="1"/>
    <n v="0"/>
    <n v="0"/>
    <n v="0"/>
  </r>
  <r>
    <s v="No"/>
    <s v="Non-Travel"/>
    <x v="0"/>
    <s v="Current Employees"/>
    <x v="0"/>
    <x v="3"/>
    <s v="STAFF-1243"/>
    <n v="1243"/>
    <x v="0"/>
    <x v="0"/>
    <x v="1"/>
    <s v="Yes"/>
    <s v="Y"/>
    <n v="6"/>
    <n v="-2"/>
    <n v="0"/>
    <n v="35"/>
    <n v="0"/>
    <m/>
    <n v="0"/>
    <n v="1"/>
    <n v="1212"/>
    <n v="8"/>
    <x v="0"/>
    <n v="1"/>
    <n v="3"/>
    <n v="78"/>
    <n v="2"/>
    <n v="3"/>
    <n v="2"/>
    <n v="10377"/>
    <n v="13755"/>
    <n v="4"/>
    <n v="11"/>
    <n v="3"/>
    <n v="2"/>
    <n v="80"/>
    <n v="1"/>
    <n v="16"/>
    <n v="2"/>
    <n v="13"/>
    <n v="2"/>
    <n v="4"/>
    <n v="12"/>
  </r>
  <r>
    <s v="No"/>
    <s v="Travel_Rarely"/>
    <x v="2"/>
    <s v="Current Employees"/>
    <x v="1"/>
    <x v="0"/>
    <s v="STAFF-1244"/>
    <n v="1244"/>
    <x v="1"/>
    <x v="1"/>
    <x v="1"/>
    <s v="Yes"/>
    <s v="Y"/>
    <n v="3"/>
    <n v="-2"/>
    <n v="0"/>
    <n v="27"/>
    <n v="0"/>
    <m/>
    <n v="0"/>
    <n v="1"/>
    <n v="1103"/>
    <n v="14"/>
    <x v="3"/>
    <n v="1"/>
    <n v="1"/>
    <n v="42"/>
    <n v="3"/>
    <n v="1"/>
    <n v="1"/>
    <n v="2235"/>
    <n v="14377"/>
    <n v="1"/>
    <n v="14"/>
    <n v="3"/>
    <n v="4"/>
    <n v="80"/>
    <n v="2"/>
    <n v="9"/>
    <n v="2"/>
    <n v="9"/>
    <n v="7"/>
    <n v="6"/>
    <n v="8"/>
  </r>
  <r>
    <s v="No"/>
    <s v="Travel_Frequently"/>
    <x v="1"/>
    <s v="Current Employees"/>
    <x v="1"/>
    <x v="0"/>
    <s v="STAFF-1245"/>
    <n v="1245"/>
    <x v="0"/>
    <x v="3"/>
    <x v="2"/>
    <s v="No"/>
    <s v="Y"/>
    <n v="2"/>
    <n v="-2"/>
    <n v="0"/>
    <n v="54"/>
    <n v="0"/>
    <m/>
    <n v="0"/>
    <n v="1"/>
    <n v="966"/>
    <n v="1"/>
    <x v="2"/>
    <n v="1"/>
    <n v="4"/>
    <n v="53"/>
    <n v="3"/>
    <n v="3"/>
    <n v="1"/>
    <n v="10502"/>
    <n v="9659"/>
    <n v="7"/>
    <n v="17"/>
    <n v="3"/>
    <n v="1"/>
    <n v="80"/>
    <n v="1"/>
    <n v="33"/>
    <n v="1"/>
    <n v="5"/>
    <n v="4"/>
    <n v="1"/>
    <n v="4"/>
  </r>
  <r>
    <s v="No"/>
    <s v="Travel_Rarely"/>
    <x v="0"/>
    <s v="Current Employees"/>
    <x v="1"/>
    <x v="0"/>
    <s v="STAFF-1246"/>
    <n v="1246"/>
    <x v="0"/>
    <x v="1"/>
    <x v="1"/>
    <s v="No"/>
    <s v="Y"/>
    <n v="5"/>
    <n v="-2"/>
    <n v="0"/>
    <n v="44"/>
    <n v="0"/>
    <m/>
    <n v="0"/>
    <n v="1"/>
    <n v="1117"/>
    <n v="2"/>
    <x v="1"/>
    <n v="1"/>
    <n v="1"/>
    <n v="72"/>
    <n v="4"/>
    <n v="1"/>
    <n v="1"/>
    <n v="2011"/>
    <n v="19982"/>
    <n v="1"/>
    <n v="13"/>
    <n v="3"/>
    <n v="4"/>
    <n v="80"/>
    <n v="1"/>
    <n v="10"/>
    <n v="3"/>
    <n v="10"/>
    <n v="5"/>
    <n v="7"/>
    <n v="7"/>
  </r>
  <r>
    <s v="Yes"/>
    <s v="Non-Travel"/>
    <x v="4"/>
    <s v="Ex-Employees"/>
    <x v="1"/>
    <x v="2"/>
    <s v="STAFF-1248"/>
    <n v="1248"/>
    <x v="0"/>
    <x v="1"/>
    <x v="0"/>
    <s v="Yes"/>
    <s v="Y"/>
    <n v="2"/>
    <n v="-2"/>
    <n v="0"/>
    <n v="19"/>
    <n v="1"/>
    <n v="1"/>
    <n v="1"/>
    <n v="0"/>
    <n v="504"/>
    <n v="10"/>
    <x v="3"/>
    <n v="1"/>
    <n v="1"/>
    <n v="96"/>
    <n v="2"/>
    <n v="1"/>
    <n v="2"/>
    <n v="1859"/>
    <n v="6148"/>
    <n v="1"/>
    <n v="25"/>
    <n v="4"/>
    <n v="2"/>
    <n v="80"/>
    <n v="0"/>
    <n v="1"/>
    <n v="4"/>
    <n v="1"/>
    <n v="1"/>
    <n v="0"/>
    <n v="0"/>
  </r>
  <r>
    <s v="No"/>
    <s v="Travel_Rarely"/>
    <x v="2"/>
    <s v="Current Employees"/>
    <x v="1"/>
    <x v="0"/>
    <s v="STAFF-1249"/>
    <n v="1249"/>
    <x v="0"/>
    <x v="1"/>
    <x v="2"/>
    <s v="No"/>
    <s v="Y"/>
    <n v="5"/>
    <n v="-2"/>
    <n v="0"/>
    <n v="29"/>
    <n v="0"/>
    <m/>
    <n v="0"/>
    <n v="1"/>
    <n v="1010"/>
    <n v="1"/>
    <x v="3"/>
    <n v="1"/>
    <n v="1"/>
    <n v="97"/>
    <n v="3"/>
    <n v="1"/>
    <n v="1"/>
    <n v="3760"/>
    <n v="5598"/>
    <n v="1"/>
    <n v="15"/>
    <n v="3"/>
    <n v="1"/>
    <n v="80"/>
    <n v="3"/>
    <n v="3"/>
    <n v="3"/>
    <n v="3"/>
    <n v="2"/>
    <n v="1"/>
    <n v="2"/>
  </r>
  <r>
    <s v="No"/>
    <s v="Travel_Rarely"/>
    <x v="1"/>
    <s v="Current Employees"/>
    <x v="1"/>
    <x v="0"/>
    <s v="STAFF-1250"/>
    <n v="1250"/>
    <x v="1"/>
    <x v="7"/>
    <x v="1"/>
    <s v="No"/>
    <s v="Y"/>
    <n v="2"/>
    <n v="-2"/>
    <n v="0"/>
    <n v="54"/>
    <n v="0"/>
    <m/>
    <n v="0"/>
    <n v="1"/>
    <n v="685"/>
    <n v="3"/>
    <x v="3"/>
    <n v="1"/>
    <n v="4"/>
    <n v="85"/>
    <n v="3"/>
    <n v="4"/>
    <n v="1"/>
    <n v="17779"/>
    <n v="23474"/>
    <n v="3"/>
    <n v="14"/>
    <n v="3"/>
    <n v="1"/>
    <n v="80"/>
    <n v="0"/>
    <n v="36"/>
    <n v="3"/>
    <n v="10"/>
    <n v="9"/>
    <n v="0"/>
    <n v="9"/>
  </r>
  <r>
    <s v="No"/>
    <s v="Travel_Rarely"/>
    <x v="2"/>
    <s v="Current Employees"/>
    <x v="1"/>
    <x v="2"/>
    <s v="STAFF-1251"/>
    <n v="1251"/>
    <x v="1"/>
    <x v="4"/>
    <x v="1"/>
    <s v="Yes"/>
    <s v="Y"/>
    <n v="2"/>
    <n v="-2"/>
    <n v="0"/>
    <n v="31"/>
    <n v="0"/>
    <m/>
    <n v="0"/>
    <n v="1"/>
    <n v="1332"/>
    <n v="11"/>
    <x v="0"/>
    <n v="1"/>
    <n v="3"/>
    <n v="80"/>
    <n v="3"/>
    <n v="2"/>
    <n v="3"/>
    <n v="6833"/>
    <n v="17089"/>
    <n v="1"/>
    <n v="12"/>
    <n v="3"/>
    <n v="4"/>
    <n v="80"/>
    <n v="0"/>
    <n v="6"/>
    <n v="2"/>
    <n v="6"/>
    <n v="5"/>
    <n v="0"/>
    <n v="1"/>
  </r>
  <r>
    <s v="No"/>
    <s v="Travel_Rarely"/>
    <x v="2"/>
    <s v="Current Employees"/>
    <x v="1"/>
    <x v="2"/>
    <s v="STAFF-1252"/>
    <n v="1252"/>
    <x v="0"/>
    <x v="4"/>
    <x v="0"/>
    <s v="No"/>
    <s v="Y"/>
    <n v="2"/>
    <n v="-2"/>
    <n v="0"/>
    <n v="31"/>
    <n v="0"/>
    <m/>
    <n v="0"/>
    <n v="1"/>
    <n v="1062"/>
    <n v="24"/>
    <x v="3"/>
    <n v="1"/>
    <n v="3"/>
    <n v="96"/>
    <n v="2"/>
    <n v="2"/>
    <n v="3"/>
    <n v="6812"/>
    <n v="17198"/>
    <n v="1"/>
    <n v="19"/>
    <n v="3"/>
    <n v="2"/>
    <n v="80"/>
    <n v="0"/>
    <n v="10"/>
    <n v="3"/>
    <n v="10"/>
    <n v="9"/>
    <n v="1"/>
    <n v="8"/>
  </r>
  <r>
    <s v="No"/>
    <s v="Travel_Rarely"/>
    <x v="3"/>
    <s v="Current Employees"/>
    <x v="0"/>
    <x v="0"/>
    <s v="STAFF-1254"/>
    <n v="1254"/>
    <x v="0"/>
    <x v="0"/>
    <x v="0"/>
    <s v="No"/>
    <s v="Y"/>
    <n v="2"/>
    <n v="-2"/>
    <n v="0"/>
    <n v="59"/>
    <n v="0"/>
    <m/>
    <n v="0"/>
    <n v="1"/>
    <n v="326"/>
    <n v="3"/>
    <x v="3"/>
    <n v="1"/>
    <n v="3"/>
    <n v="48"/>
    <n v="2"/>
    <n v="2"/>
    <n v="1"/>
    <n v="5171"/>
    <n v="16490"/>
    <n v="5"/>
    <n v="17"/>
    <n v="3"/>
    <n v="4"/>
    <n v="80"/>
    <n v="0"/>
    <n v="13"/>
    <n v="3"/>
    <n v="6"/>
    <n v="1"/>
    <n v="0"/>
    <n v="5"/>
  </r>
  <r>
    <s v="No"/>
    <s v="Travel_Rarely"/>
    <x v="0"/>
    <s v="Current Employees"/>
    <x v="1"/>
    <x v="0"/>
    <s v="STAFF-1255"/>
    <n v="1255"/>
    <x v="1"/>
    <x v="7"/>
    <x v="1"/>
    <s v="No"/>
    <s v="Y"/>
    <n v="2"/>
    <n v="-2"/>
    <n v="0"/>
    <n v="43"/>
    <n v="0"/>
    <m/>
    <n v="0"/>
    <n v="1"/>
    <n v="920"/>
    <n v="3"/>
    <x v="3"/>
    <n v="1"/>
    <n v="3"/>
    <n v="96"/>
    <n v="1"/>
    <n v="5"/>
    <n v="1"/>
    <n v="19740"/>
    <n v="18625"/>
    <n v="3"/>
    <n v="14"/>
    <n v="3"/>
    <n v="2"/>
    <n v="80"/>
    <n v="1"/>
    <n v="25"/>
    <n v="3"/>
    <n v="8"/>
    <n v="7"/>
    <n v="0"/>
    <n v="7"/>
  </r>
  <r>
    <s v="No"/>
    <s v="Travel_Rarely"/>
    <x v="1"/>
    <s v="Current Employees"/>
    <x v="1"/>
    <x v="2"/>
    <s v="STAFF-1256"/>
    <n v="1256"/>
    <x v="1"/>
    <x v="5"/>
    <x v="1"/>
    <s v="No"/>
    <s v="Y"/>
    <n v="2"/>
    <n v="-2"/>
    <n v="0"/>
    <n v="49"/>
    <n v="0"/>
    <m/>
    <n v="0"/>
    <n v="1"/>
    <n v="1098"/>
    <n v="4"/>
    <x v="0"/>
    <n v="1"/>
    <n v="1"/>
    <n v="85"/>
    <n v="2"/>
    <n v="5"/>
    <n v="3"/>
    <n v="18711"/>
    <n v="12124"/>
    <n v="2"/>
    <n v="13"/>
    <n v="3"/>
    <n v="3"/>
    <n v="80"/>
    <n v="1"/>
    <n v="23"/>
    <n v="4"/>
    <n v="1"/>
    <n v="0"/>
    <n v="0"/>
    <n v="0"/>
  </r>
  <r>
    <s v="No"/>
    <s v="Travel_Frequently"/>
    <x v="0"/>
    <s v="Current Employees"/>
    <x v="1"/>
    <x v="4"/>
    <s v="STAFF-1257"/>
    <n v="1257"/>
    <x v="1"/>
    <x v="1"/>
    <x v="1"/>
    <s v="No"/>
    <s v="Y"/>
    <n v="2"/>
    <n v="-2"/>
    <n v="0"/>
    <n v="36"/>
    <n v="0"/>
    <m/>
    <n v="0"/>
    <n v="1"/>
    <n v="469"/>
    <n v="3"/>
    <x v="3"/>
    <n v="1"/>
    <n v="4"/>
    <n v="46"/>
    <n v="3"/>
    <n v="1"/>
    <n v="4"/>
    <n v="3692"/>
    <n v="9256"/>
    <n v="1"/>
    <n v="12"/>
    <n v="3"/>
    <n v="3"/>
    <n v="80"/>
    <n v="0"/>
    <n v="12"/>
    <n v="2"/>
    <n v="11"/>
    <n v="10"/>
    <n v="0"/>
    <n v="7"/>
  </r>
  <r>
    <s v="No"/>
    <s v="Travel_Rarely"/>
    <x v="1"/>
    <s v="Current Employees"/>
    <x v="1"/>
    <x v="4"/>
    <s v="STAFF-1258"/>
    <n v="1258"/>
    <x v="1"/>
    <x v="2"/>
    <x v="0"/>
    <s v="No"/>
    <s v="Y"/>
    <n v="4"/>
    <n v="-2"/>
    <n v="0"/>
    <n v="48"/>
    <n v="0"/>
    <m/>
    <n v="0"/>
    <n v="1"/>
    <n v="969"/>
    <n v="2"/>
    <x v="0"/>
    <n v="1"/>
    <n v="4"/>
    <n v="76"/>
    <n v="4"/>
    <n v="1"/>
    <n v="4"/>
    <n v="2559"/>
    <n v="16620"/>
    <n v="5"/>
    <n v="11"/>
    <n v="3"/>
    <n v="3"/>
    <n v="80"/>
    <n v="0"/>
    <n v="7"/>
    <n v="2"/>
    <n v="1"/>
    <n v="0"/>
    <n v="0"/>
    <n v="0"/>
  </r>
  <r>
    <s v="No"/>
    <s v="Travel_Rarely"/>
    <x v="2"/>
    <s v="Current Employees"/>
    <x v="1"/>
    <x v="0"/>
    <s v="STAFF-1259"/>
    <n v="1259"/>
    <x v="1"/>
    <x v="1"/>
    <x v="2"/>
    <s v="No"/>
    <s v="Y"/>
    <n v="2"/>
    <n v="-2"/>
    <n v="0"/>
    <n v="27"/>
    <n v="0"/>
    <m/>
    <n v="0"/>
    <n v="1"/>
    <n v="1167"/>
    <n v="4"/>
    <x v="0"/>
    <n v="1"/>
    <n v="1"/>
    <n v="76"/>
    <n v="3"/>
    <n v="1"/>
    <n v="1"/>
    <n v="2517"/>
    <n v="3208"/>
    <n v="1"/>
    <n v="11"/>
    <n v="3"/>
    <n v="2"/>
    <n v="80"/>
    <n v="3"/>
    <n v="5"/>
    <n v="3"/>
    <n v="5"/>
    <n v="3"/>
    <n v="0"/>
    <n v="3"/>
  </r>
  <r>
    <s v="No"/>
    <s v="Travel_Rarely"/>
    <x v="2"/>
    <s v="Current Employees"/>
    <x v="1"/>
    <x v="0"/>
    <s v="STAFF-1260"/>
    <n v="1260"/>
    <x v="1"/>
    <x v="4"/>
    <x v="2"/>
    <s v="Yes"/>
    <s v="Y"/>
    <n v="2"/>
    <n v="-2"/>
    <n v="0"/>
    <n v="29"/>
    <n v="0"/>
    <m/>
    <n v="0"/>
    <n v="1"/>
    <n v="1329"/>
    <n v="7"/>
    <x v="3"/>
    <n v="1"/>
    <n v="3"/>
    <n v="82"/>
    <n v="3"/>
    <n v="2"/>
    <n v="1"/>
    <n v="6623"/>
    <n v="4204"/>
    <n v="1"/>
    <n v="11"/>
    <n v="3"/>
    <n v="2"/>
    <n v="80"/>
    <n v="2"/>
    <n v="6"/>
    <n v="3"/>
    <n v="6"/>
    <n v="0"/>
    <n v="1"/>
    <n v="0"/>
  </r>
  <r>
    <s v="No"/>
    <s v="Travel_Rarely"/>
    <x v="1"/>
    <s v="Current Employees"/>
    <x v="1"/>
    <x v="0"/>
    <s v="STAFF-1263"/>
    <n v="1263"/>
    <x v="1"/>
    <x v="7"/>
    <x v="0"/>
    <s v="No"/>
    <s v="Y"/>
    <n v="3"/>
    <n v="-2"/>
    <n v="0"/>
    <n v="48"/>
    <n v="0"/>
    <m/>
    <n v="0"/>
    <n v="1"/>
    <n v="715"/>
    <n v="1"/>
    <x v="3"/>
    <n v="1"/>
    <n v="4"/>
    <n v="76"/>
    <n v="2"/>
    <n v="5"/>
    <n v="1"/>
    <n v="18265"/>
    <n v="8733"/>
    <n v="6"/>
    <n v="12"/>
    <n v="3"/>
    <n v="3"/>
    <n v="80"/>
    <n v="0"/>
    <n v="25"/>
    <n v="4"/>
    <n v="1"/>
    <n v="0"/>
    <n v="0"/>
    <n v="0"/>
  </r>
  <r>
    <s v="No"/>
    <s v="Travel_Rarely"/>
    <x v="2"/>
    <s v="Current Employees"/>
    <x v="1"/>
    <x v="0"/>
    <s v="STAFF-1264"/>
    <n v="1264"/>
    <x v="0"/>
    <x v="7"/>
    <x v="2"/>
    <s v="No"/>
    <s v="Y"/>
    <n v="2"/>
    <n v="-2"/>
    <n v="0"/>
    <n v="29"/>
    <n v="0"/>
    <m/>
    <n v="0"/>
    <n v="1"/>
    <n v="694"/>
    <n v="1"/>
    <x v="3"/>
    <n v="1"/>
    <n v="4"/>
    <n v="87"/>
    <n v="2"/>
    <n v="4"/>
    <n v="1"/>
    <n v="16124"/>
    <n v="3423"/>
    <n v="3"/>
    <n v="14"/>
    <n v="3"/>
    <n v="2"/>
    <n v="80"/>
    <n v="2"/>
    <n v="9"/>
    <n v="2"/>
    <n v="7"/>
    <n v="7"/>
    <n v="1"/>
    <n v="7"/>
  </r>
  <r>
    <s v="No"/>
    <s v="Travel_Rarely"/>
    <x v="2"/>
    <s v="Current Employees"/>
    <x v="1"/>
    <x v="4"/>
    <s v="STAFF-1265"/>
    <n v="1265"/>
    <x v="0"/>
    <x v="1"/>
    <x v="1"/>
    <s v="No"/>
    <s v="Y"/>
    <n v="5"/>
    <n v="-2"/>
    <n v="0"/>
    <n v="34"/>
    <n v="0"/>
    <m/>
    <n v="0"/>
    <n v="1"/>
    <n v="1320"/>
    <n v="20"/>
    <x v="3"/>
    <n v="1"/>
    <n v="4"/>
    <n v="89"/>
    <n v="4"/>
    <n v="1"/>
    <n v="4"/>
    <n v="2585"/>
    <n v="21643"/>
    <n v="0"/>
    <n v="17"/>
    <n v="3"/>
    <n v="4"/>
    <n v="80"/>
    <n v="0"/>
    <n v="2"/>
    <n v="2"/>
    <n v="1"/>
    <n v="0"/>
    <n v="0"/>
    <n v="0"/>
  </r>
  <r>
    <s v="No"/>
    <s v="Travel_Rarely"/>
    <x v="0"/>
    <s v="Current Employees"/>
    <x v="0"/>
    <x v="3"/>
    <s v="STAFF-1267"/>
    <n v="1267"/>
    <x v="1"/>
    <x v="5"/>
    <x v="1"/>
    <s v="No"/>
    <s v="Y"/>
    <n v="5"/>
    <n v="-2"/>
    <n v="0"/>
    <n v="44"/>
    <n v="0"/>
    <m/>
    <n v="0"/>
    <n v="1"/>
    <n v="1099"/>
    <n v="5"/>
    <x v="3"/>
    <n v="1"/>
    <n v="2"/>
    <n v="88"/>
    <n v="3"/>
    <n v="5"/>
    <n v="2"/>
    <n v="18213"/>
    <n v="8751"/>
    <n v="7"/>
    <n v="11"/>
    <n v="3"/>
    <n v="3"/>
    <n v="80"/>
    <n v="1"/>
    <n v="26"/>
    <n v="3"/>
    <n v="22"/>
    <n v="9"/>
    <n v="3"/>
    <n v="10"/>
  </r>
  <r>
    <s v="No"/>
    <s v="Travel_Rarely"/>
    <x v="2"/>
    <s v="Current Employees"/>
    <x v="0"/>
    <x v="3"/>
    <s v="STAFF-1268"/>
    <n v="1268"/>
    <x v="1"/>
    <x v="0"/>
    <x v="2"/>
    <s v="Yes"/>
    <s v="Y"/>
    <n v="3"/>
    <n v="-2"/>
    <n v="0"/>
    <n v="33"/>
    <n v="0"/>
    <m/>
    <n v="0"/>
    <n v="1"/>
    <n v="536"/>
    <n v="10"/>
    <x v="4"/>
    <n v="1"/>
    <n v="4"/>
    <n v="82"/>
    <n v="4"/>
    <n v="3"/>
    <n v="2"/>
    <n v="8380"/>
    <n v="21708"/>
    <n v="0"/>
    <n v="14"/>
    <n v="3"/>
    <n v="4"/>
    <n v="80"/>
    <n v="2"/>
    <n v="10"/>
    <n v="3"/>
    <n v="9"/>
    <n v="8"/>
    <n v="0"/>
    <n v="8"/>
  </r>
  <r>
    <s v="No"/>
    <s v="Travel_Rarely"/>
    <x v="4"/>
    <s v="Current Employees"/>
    <x v="1"/>
    <x v="0"/>
    <s v="STAFF-1269"/>
    <n v="1269"/>
    <x v="0"/>
    <x v="1"/>
    <x v="0"/>
    <s v="Yes"/>
    <s v="Y"/>
    <n v="2"/>
    <n v="-2"/>
    <n v="0"/>
    <n v="19"/>
    <n v="0"/>
    <m/>
    <n v="0"/>
    <n v="1"/>
    <n v="265"/>
    <n v="25"/>
    <x v="3"/>
    <n v="1"/>
    <n v="2"/>
    <n v="57"/>
    <n v="4"/>
    <n v="1"/>
    <n v="1"/>
    <n v="2994"/>
    <n v="21221"/>
    <n v="1"/>
    <n v="12"/>
    <n v="3"/>
    <n v="4"/>
    <n v="80"/>
    <n v="0"/>
    <n v="1"/>
    <n v="3"/>
    <n v="1"/>
    <n v="0"/>
    <n v="0"/>
    <n v="1"/>
  </r>
  <r>
    <s v="No"/>
    <s v="Travel_Rarely"/>
    <x v="4"/>
    <s v="Current Employees"/>
    <x v="1"/>
    <x v="0"/>
    <s v="STAFF-1270"/>
    <n v="1270"/>
    <x v="1"/>
    <x v="1"/>
    <x v="1"/>
    <s v="No"/>
    <s v="Y"/>
    <n v="2"/>
    <n v="-2"/>
    <n v="0"/>
    <n v="23"/>
    <n v="0"/>
    <m/>
    <n v="0"/>
    <n v="1"/>
    <n v="373"/>
    <n v="1"/>
    <x v="0"/>
    <n v="1"/>
    <n v="4"/>
    <n v="47"/>
    <n v="3"/>
    <n v="1"/>
    <n v="1"/>
    <n v="1223"/>
    <n v="16901"/>
    <n v="1"/>
    <n v="22"/>
    <n v="4"/>
    <n v="4"/>
    <n v="80"/>
    <n v="1"/>
    <n v="1"/>
    <n v="3"/>
    <n v="1"/>
    <n v="0"/>
    <n v="0"/>
    <n v="1"/>
  </r>
  <r>
    <s v="Yes"/>
    <s v="Travel_Frequently"/>
    <x v="2"/>
    <s v="Ex-Employees"/>
    <x v="0"/>
    <x v="0"/>
    <s v="STAFF-1273"/>
    <n v="1273"/>
    <x v="1"/>
    <x v="6"/>
    <x v="0"/>
    <s v="Yes"/>
    <s v="Y"/>
    <n v="4"/>
    <n v="-2"/>
    <n v="0"/>
    <n v="25"/>
    <n v="1"/>
    <n v="1"/>
    <n v="1"/>
    <n v="0"/>
    <n v="599"/>
    <n v="24"/>
    <x v="1"/>
    <n v="1"/>
    <n v="3"/>
    <n v="73"/>
    <n v="1"/>
    <n v="1"/>
    <n v="1"/>
    <n v="1118"/>
    <n v="8040"/>
    <n v="1"/>
    <n v="14"/>
    <n v="3"/>
    <n v="4"/>
    <n v="80"/>
    <n v="0"/>
    <n v="1"/>
    <n v="3"/>
    <n v="1"/>
    <n v="0"/>
    <n v="1"/>
    <n v="0"/>
  </r>
  <r>
    <s v="No"/>
    <s v="Travel_Rarely"/>
    <x v="2"/>
    <s v="Current Employees"/>
    <x v="1"/>
    <x v="0"/>
    <s v="STAFF-1275"/>
    <n v="1275"/>
    <x v="1"/>
    <x v="1"/>
    <x v="0"/>
    <s v="Yes"/>
    <s v="Y"/>
    <n v="2"/>
    <n v="-2"/>
    <n v="0"/>
    <n v="26"/>
    <n v="0"/>
    <m/>
    <n v="0"/>
    <n v="1"/>
    <n v="583"/>
    <n v="4"/>
    <x v="0"/>
    <n v="1"/>
    <n v="3"/>
    <n v="53"/>
    <n v="3"/>
    <n v="1"/>
    <n v="1"/>
    <n v="2875"/>
    <n v="9973"/>
    <n v="1"/>
    <n v="20"/>
    <n v="4"/>
    <n v="2"/>
    <n v="80"/>
    <n v="0"/>
    <n v="8"/>
    <n v="2"/>
    <n v="8"/>
    <n v="5"/>
    <n v="2"/>
    <n v="2"/>
  </r>
  <r>
    <s v="Yes"/>
    <s v="Travel_Rarely"/>
    <x v="1"/>
    <s v="Ex-Employees"/>
    <x v="0"/>
    <x v="3"/>
    <s v="STAFF-1277"/>
    <n v="1277"/>
    <x v="0"/>
    <x v="5"/>
    <x v="0"/>
    <s v="Yes"/>
    <s v="Y"/>
    <n v="2"/>
    <n v="-2"/>
    <n v="0"/>
    <n v="45"/>
    <n v="1"/>
    <n v="1"/>
    <n v="1"/>
    <n v="0"/>
    <n v="1449"/>
    <n v="2"/>
    <x v="3"/>
    <n v="1"/>
    <n v="1"/>
    <n v="94"/>
    <n v="1"/>
    <n v="5"/>
    <n v="2"/>
    <n v="18824"/>
    <n v="2493"/>
    <n v="2"/>
    <n v="16"/>
    <n v="3"/>
    <n v="1"/>
    <n v="80"/>
    <n v="0"/>
    <n v="26"/>
    <n v="3"/>
    <n v="24"/>
    <n v="10"/>
    <n v="1"/>
    <n v="11"/>
  </r>
  <r>
    <s v="No"/>
    <s v="Non-Travel"/>
    <x v="3"/>
    <s v="Current Employees"/>
    <x v="1"/>
    <x v="2"/>
    <s v="STAFF-1278"/>
    <n v="1278"/>
    <x v="1"/>
    <x v="4"/>
    <x v="2"/>
    <s v="Yes"/>
    <s v="Y"/>
    <n v="3"/>
    <n v="-2"/>
    <n v="0"/>
    <n v="55"/>
    <n v="0"/>
    <m/>
    <n v="0"/>
    <n v="1"/>
    <n v="177"/>
    <n v="8"/>
    <x v="1"/>
    <n v="1"/>
    <n v="4"/>
    <n v="37"/>
    <n v="2"/>
    <n v="4"/>
    <n v="2"/>
    <n v="13577"/>
    <n v="25592"/>
    <n v="1"/>
    <n v="15"/>
    <n v="3"/>
    <n v="4"/>
    <n v="80"/>
    <n v="1"/>
    <n v="34"/>
    <n v="3"/>
    <n v="33"/>
    <n v="9"/>
    <n v="15"/>
    <n v="0"/>
  </r>
  <r>
    <s v="Yes"/>
    <s v="Travel_Frequently"/>
    <x v="4"/>
    <s v="Ex-Employees"/>
    <x v="1"/>
    <x v="0"/>
    <s v="STAFF-1279"/>
    <n v="1279"/>
    <x v="0"/>
    <x v="2"/>
    <x v="0"/>
    <s v="No"/>
    <s v="Y"/>
    <n v="2"/>
    <n v="-2"/>
    <n v="0"/>
    <n v="21"/>
    <n v="1"/>
    <n v="1"/>
    <n v="1"/>
    <n v="0"/>
    <n v="251"/>
    <n v="10"/>
    <x v="0"/>
    <n v="1"/>
    <n v="1"/>
    <n v="45"/>
    <n v="2"/>
    <n v="1"/>
    <n v="1"/>
    <n v="2625"/>
    <n v="25308"/>
    <n v="1"/>
    <n v="20"/>
    <n v="4"/>
    <n v="3"/>
    <n v="80"/>
    <n v="0"/>
    <n v="2"/>
    <n v="1"/>
    <n v="2"/>
    <n v="2"/>
    <n v="2"/>
    <n v="2"/>
  </r>
  <r>
    <s v="No"/>
    <s v="Travel_Rarely"/>
    <x v="1"/>
    <s v="Current Employees"/>
    <x v="0"/>
    <x v="3"/>
    <s v="STAFF-1280"/>
    <n v="1280"/>
    <x v="0"/>
    <x v="5"/>
    <x v="1"/>
    <s v="No"/>
    <s v="Y"/>
    <n v="2"/>
    <n v="-2"/>
    <n v="0"/>
    <n v="46"/>
    <n v="0"/>
    <m/>
    <n v="0"/>
    <n v="1"/>
    <n v="168"/>
    <n v="4"/>
    <x v="0"/>
    <n v="1"/>
    <n v="4"/>
    <n v="33"/>
    <n v="2"/>
    <n v="5"/>
    <n v="2"/>
    <n v="18789"/>
    <n v="9946"/>
    <n v="2"/>
    <n v="14"/>
    <n v="3"/>
    <n v="3"/>
    <n v="80"/>
    <n v="1"/>
    <n v="26"/>
    <n v="3"/>
    <n v="11"/>
    <n v="4"/>
    <n v="0"/>
    <n v="8"/>
  </r>
  <r>
    <s v="No"/>
    <s v="Travel_Rarely"/>
    <x v="2"/>
    <s v="Current Employees"/>
    <x v="0"/>
    <x v="3"/>
    <s v="STAFF-1281"/>
    <n v="1281"/>
    <x v="0"/>
    <x v="0"/>
    <x v="0"/>
    <s v="Yes"/>
    <s v="Y"/>
    <n v="3"/>
    <n v="-2"/>
    <n v="0"/>
    <n v="34"/>
    <n v="0"/>
    <m/>
    <n v="0"/>
    <n v="1"/>
    <n v="131"/>
    <n v="2"/>
    <x v="3"/>
    <n v="1"/>
    <n v="3"/>
    <n v="86"/>
    <n v="3"/>
    <n v="2"/>
    <n v="2"/>
    <n v="4538"/>
    <n v="6039"/>
    <n v="0"/>
    <n v="12"/>
    <n v="3"/>
    <n v="4"/>
    <n v="80"/>
    <n v="0"/>
    <n v="4"/>
    <n v="3"/>
    <n v="3"/>
    <n v="2"/>
    <n v="0"/>
    <n v="2"/>
  </r>
  <r>
    <s v="No"/>
    <s v="Travel_Frequently"/>
    <x v="1"/>
    <s v="Current Employees"/>
    <x v="0"/>
    <x v="0"/>
    <s v="STAFF-1282"/>
    <n v="1282"/>
    <x v="1"/>
    <x v="5"/>
    <x v="2"/>
    <s v="Yes"/>
    <s v="Y"/>
    <n v="5"/>
    <n v="-2"/>
    <n v="0"/>
    <n v="51"/>
    <n v="0"/>
    <m/>
    <n v="0"/>
    <n v="1"/>
    <n v="237"/>
    <n v="9"/>
    <x v="3"/>
    <n v="1"/>
    <n v="4"/>
    <n v="83"/>
    <n v="3"/>
    <n v="5"/>
    <n v="1"/>
    <n v="19847"/>
    <n v="19196"/>
    <n v="4"/>
    <n v="24"/>
    <n v="4"/>
    <n v="1"/>
    <n v="80"/>
    <n v="1"/>
    <n v="31"/>
    <n v="2"/>
    <n v="29"/>
    <n v="10"/>
    <n v="11"/>
    <n v="10"/>
  </r>
  <r>
    <s v="No"/>
    <s v="Travel_Rarely"/>
    <x v="3"/>
    <s v="Current Employees"/>
    <x v="1"/>
    <x v="2"/>
    <s v="STAFF-1283"/>
    <n v="1283"/>
    <x v="1"/>
    <x v="3"/>
    <x v="0"/>
    <s v="No"/>
    <s v="Y"/>
    <n v="6"/>
    <n v="-2"/>
    <n v="0"/>
    <n v="59"/>
    <n v="0"/>
    <m/>
    <n v="0"/>
    <n v="1"/>
    <n v="1429"/>
    <n v="18"/>
    <x v="2"/>
    <n v="1"/>
    <n v="4"/>
    <n v="67"/>
    <n v="3"/>
    <n v="3"/>
    <n v="4"/>
    <n v="10512"/>
    <n v="20002"/>
    <n v="6"/>
    <n v="12"/>
    <n v="3"/>
    <n v="4"/>
    <n v="80"/>
    <n v="0"/>
    <n v="25"/>
    <n v="2"/>
    <n v="9"/>
    <n v="7"/>
    <n v="5"/>
    <n v="4"/>
  </r>
  <r>
    <s v="No"/>
    <s v="Travel_Frequently"/>
    <x v="2"/>
    <s v="Current Employees"/>
    <x v="1"/>
    <x v="2"/>
    <s v="STAFF-1285"/>
    <n v="1285"/>
    <x v="0"/>
    <x v="2"/>
    <x v="2"/>
    <s v="No"/>
    <s v="Y"/>
    <n v="2"/>
    <n v="-2"/>
    <n v="0"/>
    <n v="34"/>
    <n v="0"/>
    <m/>
    <n v="0"/>
    <n v="1"/>
    <n v="135"/>
    <n v="19"/>
    <x v="3"/>
    <n v="1"/>
    <n v="3"/>
    <n v="46"/>
    <n v="3"/>
    <n v="2"/>
    <n v="2"/>
    <n v="4444"/>
    <n v="22534"/>
    <n v="4"/>
    <n v="13"/>
    <n v="3"/>
    <n v="3"/>
    <n v="80"/>
    <n v="2"/>
    <n v="15"/>
    <n v="4"/>
    <n v="11"/>
    <n v="8"/>
    <n v="5"/>
    <n v="10"/>
  </r>
  <r>
    <s v="No"/>
    <s v="Travel_Frequently"/>
    <x v="2"/>
    <s v="Current Employees"/>
    <x v="1"/>
    <x v="2"/>
    <s v="STAFF-1286"/>
    <n v="1286"/>
    <x v="1"/>
    <x v="2"/>
    <x v="0"/>
    <s v="Yes"/>
    <s v="Y"/>
    <n v="2"/>
    <n v="-2"/>
    <n v="0"/>
    <n v="28"/>
    <n v="0"/>
    <m/>
    <n v="0"/>
    <n v="1"/>
    <n v="791"/>
    <n v="1"/>
    <x v="2"/>
    <n v="1"/>
    <n v="4"/>
    <n v="44"/>
    <n v="3"/>
    <n v="1"/>
    <n v="3"/>
    <n v="2154"/>
    <n v="6842"/>
    <n v="0"/>
    <n v="11"/>
    <n v="3"/>
    <n v="3"/>
    <n v="80"/>
    <n v="0"/>
    <n v="5"/>
    <n v="2"/>
    <n v="4"/>
    <n v="2"/>
    <n v="0"/>
    <n v="2"/>
  </r>
  <r>
    <s v="No"/>
    <s v="Travel_Rarely"/>
    <x v="0"/>
    <s v="Current Employees"/>
    <x v="1"/>
    <x v="0"/>
    <s v="STAFF-1288"/>
    <n v="1288"/>
    <x v="1"/>
    <x v="5"/>
    <x v="2"/>
    <s v="No"/>
    <s v="Y"/>
    <n v="4"/>
    <n v="-2"/>
    <n v="0"/>
    <n v="44"/>
    <n v="0"/>
    <m/>
    <n v="0"/>
    <n v="1"/>
    <n v="1199"/>
    <n v="4"/>
    <x v="0"/>
    <n v="1"/>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n v="3"/>
    <n v="4"/>
    <n v="80"/>
    <n v="2"/>
    <n v="14"/>
    <n v="4"/>
    <n v="10"/>
    <n v="9"/>
    <n v="1"/>
    <n v="8"/>
  </r>
  <r>
    <s v="No"/>
    <s v="Travel_Rarely"/>
    <x v="0"/>
    <s v="Current Employees"/>
    <x v="1"/>
    <x v="0"/>
    <s v="STAFF-1291"/>
    <n v="1291"/>
    <x v="1"/>
    <x v="1"/>
    <x v="1"/>
    <s v="Yes"/>
    <s v="Y"/>
    <n v="3"/>
    <n v="-2"/>
    <n v="0"/>
    <n v="35"/>
    <n v="0"/>
    <m/>
    <n v="0"/>
    <n v="1"/>
    <n v="735"/>
    <n v="6"/>
    <x v="1"/>
    <n v="1"/>
    <n v="3"/>
    <n v="66"/>
    <n v="3"/>
    <n v="1"/>
    <n v="3"/>
    <n v="3506"/>
    <n v="6020"/>
    <n v="0"/>
    <n v="14"/>
    <n v="3"/>
    <n v="4"/>
    <n v="80"/>
    <n v="0"/>
    <n v="4"/>
    <n v="3"/>
    <n v="3"/>
    <n v="2"/>
    <n v="2"/>
    <n v="2"/>
  </r>
  <r>
    <s v="No"/>
    <s v="Travel_Rarely"/>
    <x v="0"/>
    <s v="Current Employees"/>
    <x v="1"/>
    <x v="2"/>
    <s v="STAFF-1292"/>
    <n v="1292"/>
    <x v="0"/>
    <x v="1"/>
    <x v="1"/>
    <s v="Yes"/>
    <s v="Y"/>
    <n v="2"/>
    <n v="-2"/>
    <n v="0"/>
    <n v="42"/>
    <n v="0"/>
    <m/>
    <n v="0"/>
    <n v="1"/>
    <n v="603"/>
    <n v="7"/>
    <x v="2"/>
    <n v="1"/>
    <n v="2"/>
    <n v="78"/>
    <n v="4"/>
    <n v="2"/>
    <n v="2"/>
    <n v="2372"/>
    <n v="5628"/>
    <n v="6"/>
    <n v="16"/>
    <n v="3"/>
    <n v="4"/>
    <n v="80"/>
    <n v="0"/>
    <n v="18"/>
    <n v="3"/>
    <n v="1"/>
    <n v="0"/>
    <n v="0"/>
    <n v="0"/>
  </r>
  <r>
    <s v="No"/>
    <s v="Travel_Rarely"/>
    <x v="0"/>
    <s v="Current Employees"/>
    <x v="0"/>
    <x v="3"/>
    <s v="STAFF-1293"/>
    <n v="1293"/>
    <x v="0"/>
    <x v="0"/>
    <x v="0"/>
    <s v="No"/>
    <s v="Y"/>
    <n v="3"/>
    <n v="-2"/>
    <n v="0"/>
    <n v="43"/>
    <n v="0"/>
    <m/>
    <n v="0"/>
    <n v="1"/>
    <n v="531"/>
    <n v="4"/>
    <x v="2"/>
    <n v="1"/>
    <n v="4"/>
    <n v="56"/>
    <n v="2"/>
    <n v="3"/>
    <n v="2"/>
    <n v="10231"/>
    <n v="20364"/>
    <n v="3"/>
    <n v="14"/>
    <n v="3"/>
    <n v="4"/>
    <n v="80"/>
    <n v="0"/>
    <n v="23"/>
    <n v="4"/>
    <n v="21"/>
    <n v="7"/>
    <n v="15"/>
    <n v="17"/>
  </r>
  <r>
    <s v="No"/>
    <s v="Travel_Rarely"/>
    <x v="0"/>
    <s v="Current Employees"/>
    <x v="1"/>
    <x v="0"/>
    <s v="STAFF-1294"/>
    <n v="1294"/>
    <x v="0"/>
    <x v="3"/>
    <x v="0"/>
    <s v="Yes"/>
    <s v="Y"/>
    <n v="2"/>
    <n v="-2"/>
    <n v="0"/>
    <n v="36"/>
    <n v="0"/>
    <m/>
    <n v="0"/>
    <n v="1"/>
    <n v="429"/>
    <n v="2"/>
    <x v="2"/>
    <n v="1"/>
    <n v="3"/>
    <n v="53"/>
    <n v="3"/>
    <n v="2"/>
    <n v="2"/>
    <n v="5410"/>
    <n v="2323"/>
    <n v="9"/>
    <n v="11"/>
    <n v="3"/>
    <n v="4"/>
    <n v="80"/>
    <n v="0"/>
    <n v="18"/>
    <n v="3"/>
    <n v="16"/>
    <n v="14"/>
    <n v="5"/>
    <n v="12"/>
  </r>
  <r>
    <s v="Yes"/>
    <s v="Travel_Rarely"/>
    <x v="0"/>
    <s v="Ex-Employees"/>
    <x v="1"/>
    <x v="2"/>
    <s v="STAFF-1295"/>
    <n v="1295"/>
    <x v="0"/>
    <x v="4"/>
    <x v="1"/>
    <s v="No"/>
    <s v="Y"/>
    <n v="2"/>
    <n v="-2"/>
    <n v="0"/>
    <n v="44"/>
    <n v="1"/>
    <n v="1"/>
    <n v="1"/>
    <n v="0"/>
    <n v="621"/>
    <n v="15"/>
    <x v="3"/>
    <n v="1"/>
    <n v="1"/>
    <n v="73"/>
    <n v="3"/>
    <n v="3"/>
    <n v="4"/>
    <n v="7978"/>
    <n v="14075"/>
    <n v="1"/>
    <n v="11"/>
    <n v="3"/>
    <n v="4"/>
    <n v="80"/>
    <n v="1"/>
    <n v="10"/>
    <n v="3"/>
    <n v="10"/>
    <n v="7"/>
    <n v="0"/>
    <n v="5"/>
  </r>
  <r>
    <s v="No"/>
    <s v="Travel_Frequently"/>
    <x v="2"/>
    <s v="Current Employees"/>
    <x v="1"/>
    <x v="0"/>
    <s v="STAFF-1296"/>
    <n v="1296"/>
    <x v="1"/>
    <x v="2"/>
    <x v="1"/>
    <s v="Yes"/>
    <s v="Y"/>
    <n v="2"/>
    <n v="-2"/>
    <n v="0"/>
    <n v="28"/>
    <n v="0"/>
    <m/>
    <n v="0"/>
    <n v="1"/>
    <n v="193"/>
    <n v="2"/>
    <x v="3"/>
    <n v="1"/>
    <n v="4"/>
    <n v="52"/>
    <n v="2"/>
    <n v="1"/>
    <n v="4"/>
    <n v="3867"/>
    <n v="14222"/>
    <n v="1"/>
    <n v="12"/>
    <n v="3"/>
    <n v="2"/>
    <n v="80"/>
    <n v="1"/>
    <n v="2"/>
    <n v="3"/>
    <n v="2"/>
    <n v="2"/>
    <n v="2"/>
    <n v="2"/>
  </r>
  <r>
    <s v="No"/>
    <s v="Travel_Frequently"/>
    <x v="1"/>
    <s v="Current Employees"/>
    <x v="1"/>
    <x v="2"/>
    <s v="STAFF-1297"/>
    <n v="1297"/>
    <x v="0"/>
    <x v="2"/>
    <x v="0"/>
    <s v="No"/>
    <s v="Y"/>
    <n v="6"/>
    <n v="-2"/>
    <n v="0"/>
    <n v="51"/>
    <n v="0"/>
    <m/>
    <n v="0"/>
    <n v="1"/>
    <n v="968"/>
    <n v="6"/>
    <x v="0"/>
    <n v="1"/>
    <n v="2"/>
    <n v="40"/>
    <n v="2"/>
    <n v="1"/>
    <n v="3"/>
    <n v="2838"/>
    <n v="4257"/>
    <n v="0"/>
    <n v="14"/>
    <n v="3"/>
    <n v="2"/>
    <n v="80"/>
    <n v="0"/>
    <n v="8"/>
    <n v="2"/>
    <n v="7"/>
    <n v="0"/>
    <n v="7"/>
    <n v="7"/>
  </r>
  <r>
    <s v="No"/>
    <s v="Non-Travel"/>
    <x v="2"/>
    <s v="Current Employees"/>
    <x v="1"/>
    <x v="2"/>
    <s v="STAFF-1298"/>
    <n v="1298"/>
    <x v="0"/>
    <x v="3"/>
    <x v="0"/>
    <s v="Yes"/>
    <s v="Y"/>
    <n v="3"/>
    <n v="-2"/>
    <n v="0"/>
    <n v="30"/>
    <n v="0"/>
    <m/>
    <n v="0"/>
    <n v="1"/>
    <n v="879"/>
    <n v="9"/>
    <x v="0"/>
    <n v="1"/>
    <n v="3"/>
    <n v="72"/>
    <n v="3"/>
    <n v="2"/>
    <n v="3"/>
    <n v="4695"/>
    <n v="12858"/>
    <n v="7"/>
    <n v="18"/>
    <n v="3"/>
    <n v="3"/>
    <n v="80"/>
    <n v="0"/>
    <n v="10"/>
    <n v="3"/>
    <n v="8"/>
    <n v="4"/>
    <n v="1"/>
    <n v="7"/>
  </r>
  <r>
    <s v="Yes"/>
    <s v="Travel_Rarely"/>
    <x v="2"/>
    <s v="Ex-Employees"/>
    <x v="1"/>
    <x v="4"/>
    <s v="STAFF-1299"/>
    <n v="1299"/>
    <x v="0"/>
    <x v="2"/>
    <x v="2"/>
    <s v="Yes"/>
    <s v="Y"/>
    <n v="2"/>
    <n v="-2"/>
    <n v="0"/>
    <n v="29"/>
    <n v="1"/>
    <n v="1"/>
    <n v="1"/>
    <n v="0"/>
    <n v="806"/>
    <n v="7"/>
    <x v="3"/>
    <n v="1"/>
    <n v="4"/>
    <n v="39"/>
    <n v="3"/>
    <n v="1"/>
    <n v="4"/>
    <n v="3339"/>
    <n v="17285"/>
    <n v="3"/>
    <n v="13"/>
    <n v="3"/>
    <n v="1"/>
    <n v="80"/>
    <n v="2"/>
    <n v="10"/>
    <n v="3"/>
    <n v="7"/>
    <n v="7"/>
    <n v="7"/>
    <n v="7"/>
  </r>
  <r>
    <s v="No"/>
    <s v="Travel_Rarely"/>
    <x v="2"/>
    <s v="Current Employees"/>
    <x v="1"/>
    <x v="4"/>
    <s v="STAFF-1301"/>
    <n v="1301"/>
    <x v="1"/>
    <x v="1"/>
    <x v="0"/>
    <s v="No"/>
    <s v="Y"/>
    <n v="2"/>
    <n v="-2"/>
    <n v="0"/>
    <n v="28"/>
    <n v="0"/>
    <m/>
    <n v="0"/>
    <n v="1"/>
    <n v="640"/>
    <n v="1"/>
    <x v="3"/>
    <n v="1"/>
    <n v="4"/>
    <n v="84"/>
    <n v="3"/>
    <n v="1"/>
    <n v="4"/>
    <n v="2080"/>
    <n v="4732"/>
    <n v="2"/>
    <n v="11"/>
    <n v="3"/>
    <n v="2"/>
    <n v="80"/>
    <n v="0"/>
    <n v="5"/>
    <n v="2"/>
    <n v="3"/>
    <n v="2"/>
    <n v="1"/>
    <n v="2"/>
  </r>
  <r>
    <s v="No"/>
    <s v="Travel_Rarely"/>
    <x v="2"/>
    <s v="Current Employees"/>
    <x v="1"/>
    <x v="2"/>
    <s v="STAFF-1303"/>
    <n v="1303"/>
    <x v="0"/>
    <x v="1"/>
    <x v="0"/>
    <s v="No"/>
    <s v="Y"/>
    <n v="3"/>
    <n v="-2"/>
    <n v="0"/>
    <n v="25"/>
    <n v="0"/>
    <m/>
    <n v="0"/>
    <n v="1"/>
    <n v="266"/>
    <n v="1"/>
    <x v="3"/>
    <n v="1"/>
    <n v="4"/>
    <n v="40"/>
    <n v="3"/>
    <n v="1"/>
    <n v="2"/>
    <n v="2096"/>
    <n v="18830"/>
    <n v="1"/>
    <n v="18"/>
    <n v="3"/>
    <n v="4"/>
    <n v="80"/>
    <n v="0"/>
    <n v="2"/>
    <n v="2"/>
    <n v="2"/>
    <n v="2"/>
    <n v="2"/>
    <n v="1"/>
  </r>
  <r>
    <s v="No"/>
    <s v="Travel_Rarely"/>
    <x v="2"/>
    <s v="Current Employees"/>
    <x v="0"/>
    <x v="2"/>
    <s v="STAFF-1304"/>
    <n v="1304"/>
    <x v="1"/>
    <x v="0"/>
    <x v="1"/>
    <s v="No"/>
    <s v="Y"/>
    <n v="4"/>
    <n v="-2"/>
    <n v="0"/>
    <n v="32"/>
    <n v="0"/>
    <m/>
    <n v="0"/>
    <n v="1"/>
    <n v="604"/>
    <n v="8"/>
    <x v="3"/>
    <n v="1"/>
    <n v="3"/>
    <n v="56"/>
    <n v="4"/>
    <n v="2"/>
    <n v="4"/>
    <n v="6209"/>
    <n v="11693"/>
    <n v="1"/>
    <n v="15"/>
    <n v="3"/>
    <n v="3"/>
    <n v="80"/>
    <n v="2"/>
    <n v="10"/>
    <n v="4"/>
    <n v="10"/>
    <n v="7"/>
    <n v="0"/>
    <n v="8"/>
  </r>
  <r>
    <s v="No"/>
    <s v="Travel_Frequently"/>
    <x v="1"/>
    <s v="Current Employees"/>
    <x v="1"/>
    <x v="2"/>
    <s v="STAFF-1306"/>
    <n v="1306"/>
    <x v="0"/>
    <x v="5"/>
    <x v="0"/>
    <s v="No"/>
    <s v="Y"/>
    <n v="4"/>
    <n v="-2"/>
    <n v="0"/>
    <n v="45"/>
    <n v="0"/>
    <m/>
    <n v="0"/>
    <n v="1"/>
    <n v="364"/>
    <n v="25"/>
    <x v="3"/>
    <n v="1"/>
    <n v="2"/>
    <n v="83"/>
    <n v="3"/>
    <n v="5"/>
    <n v="2"/>
    <n v="18061"/>
    <n v="13035"/>
    <n v="3"/>
    <n v="22"/>
    <n v="4"/>
    <n v="3"/>
    <n v="80"/>
    <n v="0"/>
    <n v="22"/>
    <n v="3"/>
    <n v="0"/>
    <n v="0"/>
    <n v="0"/>
    <n v="0"/>
  </r>
  <r>
    <s v="No"/>
    <s v="Travel_Rarely"/>
    <x v="0"/>
    <s v="Current Employees"/>
    <x v="1"/>
    <x v="2"/>
    <s v="STAFF-1307"/>
    <n v="1307"/>
    <x v="0"/>
    <x v="5"/>
    <x v="2"/>
    <s v="Yes"/>
    <s v="Y"/>
    <n v="4"/>
    <n v="-2"/>
    <n v="0"/>
    <n v="39"/>
    <n v="0"/>
    <m/>
    <n v="0"/>
    <n v="1"/>
    <n v="412"/>
    <n v="13"/>
    <x v="2"/>
    <n v="1"/>
    <n v="3"/>
    <n v="94"/>
    <n v="2"/>
    <n v="4"/>
    <n v="2"/>
    <n v="17123"/>
    <n v="17334"/>
    <n v="6"/>
    <n v="13"/>
    <n v="3"/>
    <n v="4"/>
    <n v="80"/>
    <n v="2"/>
    <n v="21"/>
    <n v="3"/>
    <n v="19"/>
    <n v="9"/>
    <n v="15"/>
    <n v="2"/>
  </r>
  <r>
    <s v="No"/>
    <s v="Travel_Rarely"/>
    <x v="3"/>
    <s v="Current Employees"/>
    <x v="1"/>
    <x v="0"/>
    <s v="STAFF-1308"/>
    <n v="1308"/>
    <x v="1"/>
    <x v="1"/>
    <x v="2"/>
    <s v="No"/>
    <s v="Y"/>
    <n v="3"/>
    <n v="-2"/>
    <n v="0"/>
    <n v="58"/>
    <n v="0"/>
    <m/>
    <n v="0"/>
    <n v="1"/>
    <n v="848"/>
    <n v="23"/>
    <x v="2"/>
    <n v="1"/>
    <n v="1"/>
    <n v="88"/>
    <n v="3"/>
    <n v="1"/>
    <n v="3"/>
    <n v="2372"/>
    <n v="26076"/>
    <n v="1"/>
    <n v="12"/>
    <n v="3"/>
    <n v="4"/>
    <n v="80"/>
    <n v="2"/>
    <n v="2"/>
    <n v="3"/>
    <n v="2"/>
    <n v="2"/>
    <n v="2"/>
    <n v="2"/>
  </r>
  <r>
    <s v="Yes"/>
    <s v="Travel_Rarely"/>
    <x v="2"/>
    <s v="Ex-Employees"/>
    <x v="1"/>
    <x v="0"/>
    <s v="STAFF-1309"/>
    <n v="1309"/>
    <x v="1"/>
    <x v="2"/>
    <x v="1"/>
    <s v="No"/>
    <s v="Y"/>
    <n v="3"/>
    <n v="-2"/>
    <n v="0"/>
    <n v="32"/>
    <n v="1"/>
    <n v="1"/>
    <n v="1"/>
    <n v="0"/>
    <n v="1089"/>
    <n v="7"/>
    <x v="0"/>
    <n v="1"/>
    <n v="4"/>
    <n v="79"/>
    <n v="3"/>
    <n v="2"/>
    <n v="3"/>
    <n v="4883"/>
    <n v="22845"/>
    <n v="1"/>
    <n v="18"/>
    <n v="3"/>
    <n v="1"/>
    <n v="80"/>
    <n v="1"/>
    <n v="10"/>
    <n v="3"/>
    <n v="10"/>
    <n v="4"/>
    <n v="1"/>
    <n v="1"/>
  </r>
  <r>
    <s v="Yes"/>
    <s v="Travel_Rarely"/>
    <x v="0"/>
    <s v="Ex-Employees"/>
    <x v="1"/>
    <x v="2"/>
    <s v="STAFF-1310"/>
    <n v="1310"/>
    <x v="1"/>
    <x v="1"/>
    <x v="0"/>
    <s v="No"/>
    <s v="Y"/>
    <n v="2"/>
    <n v="-2"/>
    <n v="0"/>
    <n v="39"/>
    <n v="1"/>
    <n v="1"/>
    <n v="1"/>
    <n v="0"/>
    <n v="360"/>
    <n v="23"/>
    <x v="3"/>
    <n v="1"/>
    <n v="3"/>
    <n v="93"/>
    <n v="3"/>
    <n v="1"/>
    <n v="3"/>
    <n v="3904"/>
    <n v="22154"/>
    <n v="0"/>
    <n v="13"/>
    <n v="3"/>
    <n v="1"/>
    <n v="80"/>
    <n v="0"/>
    <n v="6"/>
    <n v="3"/>
    <n v="5"/>
    <n v="2"/>
    <n v="0"/>
    <n v="3"/>
  </r>
  <r>
    <s v="No"/>
    <s v="Travel_Rarely"/>
    <x v="2"/>
    <s v="Current Employees"/>
    <x v="1"/>
    <x v="4"/>
    <s v="STAFF-1311"/>
    <n v="1311"/>
    <x v="0"/>
    <x v="2"/>
    <x v="1"/>
    <s v="No"/>
    <s v="Y"/>
    <n v="6"/>
    <n v="-2"/>
    <n v="0"/>
    <n v="30"/>
    <n v="0"/>
    <m/>
    <n v="0"/>
    <n v="1"/>
    <n v="1138"/>
    <n v="6"/>
    <x v="3"/>
    <n v="1"/>
    <n v="4"/>
    <n v="48"/>
    <n v="2"/>
    <n v="2"/>
    <n v="4"/>
    <n v="4627"/>
    <n v="23631"/>
    <n v="0"/>
    <n v="12"/>
    <n v="3"/>
    <n v="1"/>
    <n v="80"/>
    <n v="1"/>
    <n v="10"/>
    <n v="3"/>
    <n v="9"/>
    <n v="2"/>
    <n v="6"/>
    <n v="7"/>
  </r>
  <r>
    <s v="No"/>
    <s v="Travel_Rarely"/>
    <x v="0"/>
    <s v="Current Employees"/>
    <x v="1"/>
    <x v="4"/>
    <s v="STAFF-1312"/>
    <n v="1312"/>
    <x v="0"/>
    <x v="4"/>
    <x v="1"/>
    <s v="No"/>
    <s v="Y"/>
    <n v="0"/>
    <n v="-2"/>
    <n v="0"/>
    <n v="36"/>
    <n v="0"/>
    <m/>
    <n v="0"/>
    <n v="1"/>
    <n v="325"/>
    <n v="10"/>
    <x v="2"/>
    <n v="1"/>
    <n v="4"/>
    <n v="63"/>
    <n v="3"/>
    <n v="3"/>
    <n v="4"/>
    <n v="7094"/>
    <n v="5747"/>
    <n v="3"/>
    <n v="12"/>
    <n v="3"/>
    <n v="1"/>
    <n v="80"/>
    <n v="0"/>
    <n v="10"/>
    <n v="3"/>
    <n v="7"/>
    <n v="7"/>
    <n v="1"/>
    <n v="7"/>
  </r>
  <r>
    <s v="No"/>
    <s v="Travel_Rarely"/>
    <x v="1"/>
    <s v="Current Employees"/>
    <x v="2"/>
    <x v="0"/>
    <s v="STAFF-1314"/>
    <n v="1314"/>
    <x v="0"/>
    <x v="8"/>
    <x v="0"/>
    <s v="No"/>
    <s v="Y"/>
    <n v="3"/>
    <n v="-2"/>
    <n v="0"/>
    <n v="46"/>
    <n v="0"/>
    <m/>
    <n v="0"/>
    <n v="1"/>
    <n v="991"/>
    <n v="1"/>
    <x v="0"/>
    <n v="1"/>
    <n v="4"/>
    <n v="44"/>
    <n v="3"/>
    <n v="1"/>
    <n v="3"/>
    <n v="3423"/>
    <n v="22957"/>
    <n v="6"/>
    <n v="12"/>
    <n v="3"/>
    <n v="3"/>
    <n v="80"/>
    <n v="0"/>
    <n v="10"/>
    <n v="4"/>
    <n v="7"/>
    <n v="6"/>
    <n v="5"/>
    <n v="7"/>
  </r>
  <r>
    <s v="No"/>
    <s v="Non-Travel"/>
    <x v="2"/>
    <s v="Current Employees"/>
    <x v="1"/>
    <x v="0"/>
    <s v="STAFF-1315"/>
    <n v="1315"/>
    <x v="0"/>
    <x v="2"/>
    <x v="1"/>
    <s v="No"/>
    <s v="Y"/>
    <n v="6"/>
    <n v="-2"/>
    <n v="0"/>
    <n v="28"/>
    <n v="0"/>
    <m/>
    <n v="0"/>
    <n v="1"/>
    <n v="1476"/>
    <n v="1"/>
    <x v="3"/>
    <n v="1"/>
    <n v="3"/>
    <n v="55"/>
    <n v="1"/>
    <n v="2"/>
    <n v="4"/>
    <n v="6674"/>
    <n v="16392"/>
    <n v="0"/>
    <n v="11"/>
    <n v="3"/>
    <n v="1"/>
    <n v="80"/>
    <n v="3"/>
    <n v="10"/>
    <n v="3"/>
    <n v="9"/>
    <n v="8"/>
    <n v="7"/>
    <n v="5"/>
  </r>
  <r>
    <s v="No"/>
    <s v="Travel_Rarely"/>
    <x v="1"/>
    <s v="Current Employees"/>
    <x v="1"/>
    <x v="0"/>
    <s v="STAFF-1317"/>
    <n v="1317"/>
    <x v="0"/>
    <x v="7"/>
    <x v="1"/>
    <s v="Yes"/>
    <s v="Y"/>
    <n v="2"/>
    <n v="-2"/>
    <n v="0"/>
    <n v="50"/>
    <n v="0"/>
    <m/>
    <n v="0"/>
    <n v="1"/>
    <n v="1322"/>
    <n v="28"/>
    <x v="3"/>
    <n v="1"/>
    <n v="4"/>
    <n v="43"/>
    <n v="3"/>
    <n v="4"/>
    <n v="3"/>
    <n v="16880"/>
    <n v="22422"/>
    <n v="4"/>
    <n v="11"/>
    <n v="3"/>
    <n v="2"/>
    <n v="80"/>
    <n v="0"/>
    <n v="25"/>
    <n v="3"/>
    <n v="3"/>
    <n v="2"/>
    <n v="1"/>
    <n v="2"/>
  </r>
  <r>
    <s v="Yes"/>
    <s v="Travel_Rarely"/>
    <x v="0"/>
    <s v="Ex-Employees"/>
    <x v="0"/>
    <x v="3"/>
    <s v="STAFF-1318"/>
    <n v="1318"/>
    <x v="1"/>
    <x v="0"/>
    <x v="0"/>
    <s v="Yes"/>
    <s v="Y"/>
    <n v="2"/>
    <n v="-2"/>
    <n v="0"/>
    <n v="40"/>
    <n v="1"/>
    <n v="1"/>
    <n v="1"/>
    <n v="0"/>
    <n v="299"/>
    <n v="25"/>
    <x v="2"/>
    <n v="1"/>
    <n v="4"/>
    <n v="57"/>
    <n v="2"/>
    <n v="3"/>
    <n v="2"/>
    <n v="9094"/>
    <n v="17235"/>
    <n v="2"/>
    <n v="12"/>
    <n v="3"/>
    <n v="3"/>
    <n v="80"/>
    <n v="0"/>
    <n v="9"/>
    <n v="3"/>
    <n v="5"/>
    <n v="4"/>
    <n v="1"/>
    <n v="0"/>
  </r>
  <r>
    <s v="Yes"/>
    <s v="Travel_Rarely"/>
    <x v="1"/>
    <s v="Ex-Employees"/>
    <x v="0"/>
    <x v="0"/>
    <s v="STAFF-1319"/>
    <n v="1319"/>
    <x v="1"/>
    <x v="0"/>
    <x v="0"/>
    <s v="Yes"/>
    <s v="Y"/>
    <n v="2"/>
    <n v="-2"/>
    <n v="0"/>
    <n v="52"/>
    <n v="1"/>
    <n v="1"/>
    <n v="1"/>
    <n v="0"/>
    <n v="1030"/>
    <n v="5"/>
    <x v="3"/>
    <n v="1"/>
    <n v="2"/>
    <n v="64"/>
    <n v="3"/>
    <n v="3"/>
    <n v="2"/>
    <n v="8446"/>
    <n v="21534"/>
    <n v="9"/>
    <n v="19"/>
    <n v="3"/>
    <n v="3"/>
    <n v="80"/>
    <n v="0"/>
    <n v="10"/>
    <n v="2"/>
    <n v="8"/>
    <n v="7"/>
    <n v="7"/>
    <n v="7"/>
  </r>
  <r>
    <s v="No"/>
    <s v="Travel_Rarely"/>
    <x v="2"/>
    <s v="Current Employees"/>
    <x v="1"/>
    <x v="2"/>
    <s v="STAFF-1321"/>
    <n v="1321"/>
    <x v="0"/>
    <x v="5"/>
    <x v="1"/>
    <s v="Yes"/>
    <s v="Y"/>
    <n v="2"/>
    <n v="-2"/>
    <n v="0"/>
    <n v="30"/>
    <n v="0"/>
    <m/>
    <n v="0"/>
    <n v="1"/>
    <n v="634"/>
    <n v="17"/>
    <x v="2"/>
    <n v="1"/>
    <n v="2"/>
    <n v="95"/>
    <n v="3"/>
    <n v="3"/>
    <n v="3"/>
    <n v="11916"/>
    <n v="25927"/>
    <n v="1"/>
    <n v="23"/>
    <n v="4"/>
    <n v="4"/>
    <n v="80"/>
    <n v="2"/>
    <n v="9"/>
    <n v="3"/>
    <n v="9"/>
    <n v="1"/>
    <n v="0"/>
    <n v="8"/>
  </r>
  <r>
    <s v="No"/>
    <s v="Travel_Rarely"/>
    <x v="0"/>
    <s v="Current Employees"/>
    <x v="1"/>
    <x v="0"/>
    <s v="STAFF-1322"/>
    <n v="1322"/>
    <x v="1"/>
    <x v="3"/>
    <x v="0"/>
    <s v="No"/>
    <s v="Y"/>
    <n v="6"/>
    <n v="-2"/>
    <n v="0"/>
    <n v="39"/>
    <n v="0"/>
    <m/>
    <n v="0"/>
    <n v="1"/>
    <n v="524"/>
    <n v="18"/>
    <x v="0"/>
    <n v="1"/>
    <n v="1"/>
    <n v="32"/>
    <n v="3"/>
    <n v="2"/>
    <n v="3"/>
    <n v="4534"/>
    <n v="13352"/>
    <n v="0"/>
    <n v="11"/>
    <n v="3"/>
    <n v="1"/>
    <n v="80"/>
    <n v="0"/>
    <n v="9"/>
    <n v="3"/>
    <n v="8"/>
    <n v="7"/>
    <n v="1"/>
    <n v="7"/>
  </r>
  <r>
    <s v="No"/>
    <s v="Non-Travel"/>
    <x v="2"/>
    <s v="Current Employees"/>
    <x v="0"/>
    <x v="0"/>
    <s v="STAFF-1324"/>
    <n v="1324"/>
    <x v="0"/>
    <x v="0"/>
    <x v="2"/>
    <s v="Yes"/>
    <s v="Y"/>
    <n v="5"/>
    <n v="-2"/>
    <n v="0"/>
    <n v="31"/>
    <n v="0"/>
    <m/>
    <n v="0"/>
    <n v="1"/>
    <n v="587"/>
    <n v="2"/>
    <x v="2"/>
    <n v="1"/>
    <n v="4"/>
    <n v="57"/>
    <n v="3"/>
    <n v="3"/>
    <n v="3"/>
    <n v="9852"/>
    <n v="8935"/>
    <n v="1"/>
    <n v="19"/>
    <n v="3"/>
    <n v="1"/>
    <n v="80"/>
    <n v="1"/>
    <n v="10"/>
    <n v="2"/>
    <n v="10"/>
    <n v="8"/>
    <n v="9"/>
    <n v="6"/>
  </r>
  <r>
    <s v="No"/>
    <s v="Non-Travel"/>
    <x v="0"/>
    <s v="Current Employees"/>
    <x v="0"/>
    <x v="2"/>
    <s v="STAFF-1329"/>
    <n v="1329"/>
    <x v="1"/>
    <x v="0"/>
    <x v="0"/>
    <s v="No"/>
    <s v="Y"/>
    <n v="4"/>
    <n v="-2"/>
    <n v="0"/>
    <n v="41"/>
    <n v="0"/>
    <m/>
    <n v="0"/>
    <n v="1"/>
    <n v="256"/>
    <n v="10"/>
    <x v="0"/>
    <n v="1"/>
    <n v="3"/>
    <n v="40"/>
    <n v="1"/>
    <n v="2"/>
    <n v="2"/>
    <n v="6151"/>
    <n v="22074"/>
    <n v="1"/>
    <n v="13"/>
    <n v="3"/>
    <n v="1"/>
    <n v="80"/>
    <n v="0"/>
    <n v="19"/>
    <n v="3"/>
    <n v="19"/>
    <n v="2"/>
    <n v="11"/>
    <n v="9"/>
  </r>
  <r>
    <s v="Yes"/>
    <s v="Travel_Frequently"/>
    <x v="2"/>
    <s v="Ex-Employees"/>
    <x v="0"/>
    <x v="0"/>
    <s v="STAFF-1331"/>
    <n v="1331"/>
    <x v="0"/>
    <x v="6"/>
    <x v="0"/>
    <s v="Yes"/>
    <s v="Y"/>
    <n v="2"/>
    <n v="-2"/>
    <n v="0"/>
    <n v="31"/>
    <n v="1"/>
    <n v="1"/>
    <n v="1"/>
    <n v="0"/>
    <n v="1060"/>
    <n v="1"/>
    <x v="3"/>
    <n v="1"/>
    <n v="4"/>
    <n v="54"/>
    <n v="3"/>
    <n v="1"/>
    <n v="2"/>
    <n v="2302"/>
    <n v="8319"/>
    <n v="1"/>
    <n v="11"/>
    <n v="3"/>
    <n v="1"/>
    <n v="80"/>
    <n v="0"/>
    <n v="3"/>
    <n v="4"/>
    <n v="3"/>
    <n v="2"/>
    <n v="2"/>
    <n v="2"/>
  </r>
  <r>
    <s v="Yes"/>
    <s v="Travel_Rarely"/>
    <x v="0"/>
    <s v="Ex-Employees"/>
    <x v="1"/>
    <x v="0"/>
    <s v="STAFF-1333"/>
    <n v="1333"/>
    <x v="1"/>
    <x v="2"/>
    <x v="1"/>
    <s v="No"/>
    <s v="Y"/>
    <n v="4"/>
    <n v="-2"/>
    <n v="0"/>
    <n v="44"/>
    <n v="1"/>
    <n v="1"/>
    <n v="1"/>
    <n v="0"/>
    <n v="935"/>
    <n v="3"/>
    <x v="3"/>
    <n v="1"/>
    <n v="1"/>
    <n v="89"/>
    <n v="3"/>
    <n v="1"/>
    <n v="3"/>
    <n v="2362"/>
    <n v="14669"/>
    <n v="4"/>
    <n v="12"/>
    <n v="3"/>
    <n v="3"/>
    <n v="80"/>
    <n v="0"/>
    <n v="10"/>
    <n v="4"/>
    <n v="3"/>
    <n v="2"/>
    <n v="1"/>
    <n v="2"/>
  </r>
  <r>
    <s v="No"/>
    <s v="Non-Travel"/>
    <x v="0"/>
    <s v="Current Employees"/>
    <x v="1"/>
    <x v="0"/>
    <s v="STAFF-1334"/>
    <n v="1334"/>
    <x v="1"/>
    <x v="5"/>
    <x v="1"/>
    <s v="Yes"/>
    <s v="Y"/>
    <n v="3"/>
    <n v="-2"/>
    <n v="0"/>
    <n v="42"/>
    <n v="0"/>
    <m/>
    <n v="0"/>
    <n v="1"/>
    <n v="495"/>
    <n v="2"/>
    <x v="1"/>
    <n v="1"/>
    <n v="3"/>
    <n v="37"/>
    <n v="3"/>
    <n v="4"/>
    <n v="3"/>
    <n v="17861"/>
    <n v="26582"/>
    <n v="0"/>
    <n v="13"/>
    <n v="3"/>
    <n v="4"/>
    <n v="80"/>
    <n v="0"/>
    <n v="21"/>
    <n v="2"/>
    <n v="20"/>
    <n v="8"/>
    <n v="2"/>
    <n v="10"/>
  </r>
  <r>
    <s v="No"/>
    <s v="Travel_Rarely"/>
    <x v="3"/>
    <s v="Current Employees"/>
    <x v="1"/>
    <x v="2"/>
    <s v="STAFF-1336"/>
    <n v="1336"/>
    <x v="0"/>
    <x v="5"/>
    <x v="1"/>
    <s v="No"/>
    <s v="Y"/>
    <n v="5"/>
    <n v="-2"/>
    <n v="0"/>
    <n v="55"/>
    <n v="0"/>
    <m/>
    <n v="0"/>
    <n v="1"/>
    <n v="282"/>
    <n v="2"/>
    <x v="0"/>
    <n v="1"/>
    <n v="4"/>
    <n v="58"/>
    <n v="1"/>
    <n v="5"/>
    <n v="3"/>
    <n v="19187"/>
    <n v="6992"/>
    <n v="4"/>
    <n v="14"/>
    <n v="3"/>
    <n v="4"/>
    <n v="80"/>
    <n v="1"/>
    <n v="23"/>
    <n v="3"/>
    <n v="19"/>
    <n v="9"/>
    <n v="9"/>
    <n v="11"/>
  </r>
  <r>
    <s v="No"/>
    <s v="Travel_Rarely"/>
    <x v="3"/>
    <s v="Current Employees"/>
    <x v="2"/>
    <x v="0"/>
    <s v="STAFF-1338"/>
    <n v="1338"/>
    <x v="1"/>
    <x v="5"/>
    <x v="0"/>
    <s v="No"/>
    <s v="Y"/>
    <n v="4"/>
    <n v="-2"/>
    <n v="0"/>
    <n v="56"/>
    <n v="0"/>
    <m/>
    <n v="0"/>
    <n v="1"/>
    <n v="206"/>
    <n v="8"/>
    <x v="2"/>
    <n v="1"/>
    <n v="4"/>
    <n v="99"/>
    <n v="3"/>
    <n v="5"/>
    <n v="2"/>
    <n v="19717"/>
    <n v="4022"/>
    <n v="6"/>
    <n v="14"/>
    <n v="3"/>
    <n v="1"/>
    <n v="80"/>
    <n v="0"/>
    <n v="36"/>
    <n v="3"/>
    <n v="7"/>
    <n v="3"/>
    <n v="7"/>
    <n v="7"/>
  </r>
  <r>
    <s v="No"/>
    <s v="Non-Travel"/>
    <x v="0"/>
    <s v="Current Employees"/>
    <x v="1"/>
    <x v="0"/>
    <s v="STAFF-1340"/>
    <n v="1340"/>
    <x v="1"/>
    <x v="1"/>
    <x v="2"/>
    <s v="No"/>
    <s v="Y"/>
    <n v="0"/>
    <n v="-2"/>
    <n v="0"/>
    <n v="40"/>
    <n v="0"/>
    <m/>
    <n v="0"/>
    <n v="1"/>
    <n v="458"/>
    <n v="16"/>
    <x v="0"/>
    <n v="1"/>
    <n v="3"/>
    <n v="74"/>
    <n v="3"/>
    <n v="1"/>
    <n v="3"/>
    <n v="3544"/>
    <n v="8532"/>
    <n v="9"/>
    <n v="16"/>
    <n v="3"/>
    <n v="2"/>
    <n v="80"/>
    <n v="1"/>
    <n v="6"/>
    <n v="3"/>
    <n v="4"/>
    <n v="2"/>
    <n v="0"/>
    <n v="0"/>
  </r>
  <r>
    <s v="No"/>
    <s v="Travel_Rarely"/>
    <x v="2"/>
    <s v="Current Employees"/>
    <x v="1"/>
    <x v="0"/>
    <s v="STAFF-1344"/>
    <n v="1344"/>
    <x v="1"/>
    <x v="4"/>
    <x v="2"/>
    <s v="No"/>
    <s v="Y"/>
    <n v="0"/>
    <n v="-2"/>
    <n v="0"/>
    <n v="34"/>
    <n v="0"/>
    <m/>
    <n v="0"/>
    <n v="1"/>
    <n v="943"/>
    <n v="9"/>
    <x v="3"/>
    <n v="1"/>
    <n v="4"/>
    <n v="86"/>
    <n v="3"/>
    <n v="3"/>
    <n v="4"/>
    <n v="8500"/>
    <n v="5494"/>
    <n v="0"/>
    <n v="11"/>
    <n v="3"/>
    <n v="4"/>
    <n v="80"/>
    <n v="1"/>
    <n v="10"/>
    <n v="2"/>
    <n v="9"/>
    <n v="7"/>
    <n v="1"/>
    <n v="6"/>
  </r>
  <r>
    <s v="No"/>
    <s v="Travel_Rarely"/>
    <x v="0"/>
    <s v="Current Employees"/>
    <x v="1"/>
    <x v="0"/>
    <s v="STAFF-1346"/>
    <n v="1346"/>
    <x v="1"/>
    <x v="1"/>
    <x v="0"/>
    <s v="No"/>
    <s v="Y"/>
    <n v="4"/>
    <n v="-2"/>
    <n v="0"/>
    <n v="40"/>
    <n v="0"/>
    <m/>
    <n v="0"/>
    <n v="1"/>
    <n v="523"/>
    <n v="2"/>
    <x v="3"/>
    <n v="1"/>
    <n v="3"/>
    <n v="98"/>
    <n v="3"/>
    <n v="2"/>
    <n v="4"/>
    <n v="4661"/>
    <n v="22455"/>
    <n v="1"/>
    <n v="13"/>
    <n v="3"/>
    <n v="3"/>
    <n v="80"/>
    <n v="0"/>
    <n v="9"/>
    <n v="3"/>
    <n v="9"/>
    <n v="8"/>
    <n v="8"/>
    <n v="8"/>
  </r>
  <r>
    <s v="No"/>
    <s v="Travel_Frequently"/>
    <x v="0"/>
    <s v="Current Employees"/>
    <x v="0"/>
    <x v="3"/>
    <s v="STAFF-1349"/>
    <n v="1349"/>
    <x v="0"/>
    <x v="0"/>
    <x v="2"/>
    <s v="No"/>
    <s v="Y"/>
    <n v="2"/>
    <n v="-2"/>
    <n v="0"/>
    <n v="41"/>
    <n v="0"/>
    <m/>
    <n v="0"/>
    <n v="1"/>
    <n v="1018"/>
    <n v="1"/>
    <x v="3"/>
    <n v="1"/>
    <n v="3"/>
    <n v="66"/>
    <n v="3"/>
    <n v="2"/>
    <n v="2"/>
    <n v="4103"/>
    <n v="4297"/>
    <n v="0"/>
    <n v="17"/>
    <n v="3"/>
    <n v="4"/>
    <n v="80"/>
    <n v="1"/>
    <n v="10"/>
    <n v="3"/>
    <n v="9"/>
    <n v="3"/>
    <n v="1"/>
    <n v="7"/>
  </r>
  <r>
    <s v="No"/>
    <s v="Travel_Frequently"/>
    <x v="0"/>
    <s v="Current Employees"/>
    <x v="1"/>
    <x v="0"/>
    <s v="STAFF-1350"/>
    <n v="1350"/>
    <x v="1"/>
    <x v="1"/>
    <x v="0"/>
    <s v="Yes"/>
    <s v="Y"/>
    <n v="3"/>
    <n v="-2"/>
    <n v="0"/>
    <n v="35"/>
    <n v="0"/>
    <m/>
    <n v="0"/>
    <n v="1"/>
    <n v="482"/>
    <n v="4"/>
    <x v="2"/>
    <n v="1"/>
    <n v="3"/>
    <n v="87"/>
    <n v="3"/>
    <n v="2"/>
    <n v="3"/>
    <n v="4249"/>
    <n v="2690"/>
    <n v="1"/>
    <n v="11"/>
    <n v="3"/>
    <n v="2"/>
    <n v="80"/>
    <n v="0"/>
    <n v="9"/>
    <n v="3"/>
    <n v="9"/>
    <n v="6"/>
    <n v="1"/>
    <n v="1"/>
  </r>
  <r>
    <s v="No"/>
    <s v="Travel_Rarely"/>
    <x v="1"/>
    <s v="Current Employees"/>
    <x v="2"/>
    <x v="0"/>
    <s v="STAFF-1352"/>
    <n v="1352"/>
    <x v="1"/>
    <x v="5"/>
    <x v="2"/>
    <s v="Yes"/>
    <s v="Y"/>
    <n v="2"/>
    <n v="-2"/>
    <n v="0"/>
    <n v="51"/>
    <n v="0"/>
    <m/>
    <n v="0"/>
    <n v="1"/>
    <n v="770"/>
    <n v="5"/>
    <x v="3"/>
    <n v="1"/>
    <n v="3"/>
    <n v="84"/>
    <n v="3"/>
    <n v="4"/>
    <n v="2"/>
    <n v="14026"/>
    <n v="17588"/>
    <n v="1"/>
    <n v="11"/>
    <n v="3"/>
    <n v="2"/>
    <n v="80"/>
    <n v="1"/>
    <n v="33"/>
    <n v="3"/>
    <n v="33"/>
    <n v="9"/>
    <n v="0"/>
    <n v="10"/>
  </r>
  <r>
    <s v="No"/>
    <s v="Travel_Rarely"/>
    <x v="0"/>
    <s v="Current Employees"/>
    <x v="0"/>
    <x v="0"/>
    <s v="STAFF-1355"/>
    <n v="1355"/>
    <x v="0"/>
    <x v="0"/>
    <x v="2"/>
    <s v="No"/>
    <s v="Y"/>
    <n v="3"/>
    <n v="-2"/>
    <n v="0"/>
    <n v="38"/>
    <n v="0"/>
    <m/>
    <n v="0"/>
    <n v="1"/>
    <n v="1009"/>
    <n v="2"/>
    <x v="0"/>
    <n v="1"/>
    <n v="2"/>
    <n v="31"/>
    <n v="3"/>
    <n v="2"/>
    <n v="3"/>
    <n v="6893"/>
    <n v="19461"/>
    <n v="3"/>
    <n v="15"/>
    <n v="3"/>
    <n v="4"/>
    <n v="80"/>
    <n v="1"/>
    <n v="11"/>
    <n v="3"/>
    <n v="7"/>
    <n v="7"/>
    <n v="1"/>
    <n v="7"/>
  </r>
  <r>
    <s v="No"/>
    <s v="Travel_Rarely"/>
    <x v="2"/>
    <s v="Current Employees"/>
    <x v="0"/>
    <x v="2"/>
    <s v="STAFF-1356"/>
    <n v="1356"/>
    <x v="0"/>
    <x v="0"/>
    <x v="0"/>
    <s v="No"/>
    <s v="Y"/>
    <n v="6"/>
    <n v="-2"/>
    <n v="0"/>
    <n v="34"/>
    <n v="0"/>
    <m/>
    <n v="0"/>
    <n v="1"/>
    <n v="507"/>
    <n v="15"/>
    <x v="0"/>
    <n v="1"/>
    <n v="3"/>
    <n v="66"/>
    <n v="3"/>
    <n v="2"/>
    <n v="3"/>
    <n v="6125"/>
    <n v="23553"/>
    <n v="1"/>
    <n v="12"/>
    <n v="3"/>
    <n v="4"/>
    <n v="80"/>
    <n v="0"/>
    <n v="10"/>
    <n v="4"/>
    <n v="10"/>
    <n v="8"/>
    <n v="9"/>
    <n v="6"/>
  </r>
  <r>
    <s v="No"/>
    <s v="Travel_Rarely"/>
    <x v="2"/>
    <s v="Current Employees"/>
    <x v="1"/>
    <x v="2"/>
    <s v="STAFF-1358"/>
    <n v="1358"/>
    <x v="1"/>
    <x v="2"/>
    <x v="1"/>
    <s v="No"/>
    <s v="Y"/>
    <n v="6"/>
    <n v="-2"/>
    <n v="0"/>
    <n v="25"/>
    <n v="0"/>
    <m/>
    <n v="0"/>
    <n v="1"/>
    <n v="882"/>
    <n v="19"/>
    <x v="1"/>
    <n v="1"/>
    <n v="4"/>
    <n v="67"/>
    <n v="3"/>
    <n v="1"/>
    <n v="4"/>
    <n v="3669"/>
    <n v="9075"/>
    <n v="3"/>
    <n v="11"/>
    <n v="3"/>
    <n v="3"/>
    <n v="80"/>
    <n v="3"/>
    <n v="7"/>
    <n v="2"/>
    <n v="3"/>
    <n v="2"/>
    <n v="1"/>
    <n v="2"/>
  </r>
  <r>
    <s v="Yes"/>
    <s v="Travel_Rarely"/>
    <x v="3"/>
    <s v="Ex-Employees"/>
    <x v="1"/>
    <x v="2"/>
    <s v="STAFF-1360"/>
    <n v="1360"/>
    <x v="0"/>
    <x v="3"/>
    <x v="1"/>
    <s v="Yes"/>
    <s v="Y"/>
    <n v="0"/>
    <n v="-2"/>
    <n v="0"/>
    <n v="58"/>
    <n v="1"/>
    <n v="1"/>
    <n v="1"/>
    <n v="0"/>
    <n v="601"/>
    <n v="7"/>
    <x v="2"/>
    <n v="1"/>
    <n v="3"/>
    <n v="53"/>
    <n v="2"/>
    <n v="3"/>
    <n v="3"/>
    <n v="10008"/>
    <n v="12023"/>
    <n v="7"/>
    <n v="14"/>
    <n v="3"/>
    <n v="4"/>
    <n v="80"/>
    <n v="0"/>
    <n v="31"/>
    <n v="2"/>
    <n v="10"/>
    <n v="9"/>
    <n v="5"/>
    <n v="9"/>
  </r>
  <r>
    <s v="No"/>
    <s v="Travel_Rarely"/>
    <x v="0"/>
    <s v="Current Employees"/>
    <x v="1"/>
    <x v="0"/>
    <s v="STAFF-1361"/>
    <n v="1361"/>
    <x v="1"/>
    <x v="2"/>
    <x v="1"/>
    <s v="No"/>
    <s v="Y"/>
    <n v="3"/>
    <n v="-2"/>
    <n v="0"/>
    <n v="40"/>
    <n v="0"/>
    <m/>
    <n v="0"/>
    <n v="1"/>
    <n v="329"/>
    <n v="1"/>
    <x v="2"/>
    <n v="1"/>
    <n v="2"/>
    <n v="88"/>
    <n v="3"/>
    <n v="1"/>
    <n v="2"/>
    <n v="2387"/>
    <n v="6762"/>
    <n v="3"/>
    <n v="22"/>
    <n v="4"/>
    <n v="3"/>
    <n v="80"/>
    <n v="1"/>
    <n v="7"/>
    <n v="3"/>
    <n v="4"/>
    <n v="2"/>
    <n v="0"/>
    <n v="3"/>
  </r>
  <r>
    <s v="No"/>
    <s v="Travel_Frequently"/>
    <x v="0"/>
    <s v="Current Employees"/>
    <x v="0"/>
    <x v="3"/>
    <s v="STAFF-1362"/>
    <n v="1362"/>
    <x v="0"/>
    <x v="0"/>
    <x v="1"/>
    <s v="No"/>
    <s v="Y"/>
    <n v="2"/>
    <n v="-2"/>
    <n v="0"/>
    <n v="36"/>
    <n v="0"/>
    <m/>
    <n v="0"/>
    <n v="1"/>
    <n v="607"/>
    <n v="7"/>
    <x v="3"/>
    <n v="1"/>
    <n v="1"/>
    <n v="83"/>
    <n v="4"/>
    <n v="2"/>
    <n v="2"/>
    <n v="4639"/>
    <n v="2261"/>
    <n v="2"/>
    <n v="16"/>
    <n v="3"/>
    <n v="4"/>
    <n v="80"/>
    <n v="1"/>
    <n v="17"/>
    <n v="2"/>
    <n v="15"/>
    <n v="7"/>
    <n v="6"/>
    <n v="13"/>
  </r>
  <r>
    <s v="No"/>
    <s v="Travel_Rarely"/>
    <x v="1"/>
    <s v="Current Employees"/>
    <x v="1"/>
    <x v="0"/>
    <s v="STAFF-1363"/>
    <n v="1363"/>
    <x v="1"/>
    <x v="3"/>
    <x v="0"/>
    <s v="No"/>
    <s v="Y"/>
    <n v="2"/>
    <n v="-2"/>
    <n v="0"/>
    <n v="48"/>
    <n v="0"/>
    <m/>
    <n v="0"/>
    <n v="1"/>
    <n v="855"/>
    <n v="4"/>
    <x v="3"/>
    <n v="1"/>
    <n v="4"/>
    <n v="54"/>
    <n v="3"/>
    <n v="3"/>
    <n v="4"/>
    <n v="7898"/>
    <n v="18706"/>
    <n v="1"/>
    <n v="11"/>
    <n v="3"/>
    <n v="3"/>
    <n v="80"/>
    <n v="0"/>
    <n v="11"/>
    <n v="3"/>
    <n v="10"/>
    <n v="9"/>
    <n v="0"/>
    <n v="8"/>
  </r>
  <r>
    <s v="No"/>
    <s v="Travel_Rarely"/>
    <x v="2"/>
    <s v="Current Employees"/>
    <x v="0"/>
    <x v="2"/>
    <s v="STAFF-1364"/>
    <n v="1364"/>
    <x v="0"/>
    <x v="6"/>
    <x v="1"/>
    <s v="No"/>
    <s v="Y"/>
    <n v="4"/>
    <n v="-2"/>
    <n v="0"/>
    <n v="27"/>
    <n v="0"/>
    <m/>
    <n v="0"/>
    <n v="1"/>
    <n v="1291"/>
    <n v="11"/>
    <x v="3"/>
    <n v="1"/>
    <n v="3"/>
    <n v="98"/>
    <n v="4"/>
    <n v="1"/>
    <n v="4"/>
    <n v="2534"/>
    <n v="6527"/>
    <n v="8"/>
    <n v="14"/>
    <n v="3"/>
    <n v="2"/>
    <n v="80"/>
    <n v="1"/>
    <n v="5"/>
    <n v="3"/>
    <n v="1"/>
    <n v="0"/>
    <n v="0"/>
    <n v="0"/>
  </r>
  <r>
    <s v="No"/>
    <s v="Travel_Rarely"/>
    <x v="1"/>
    <s v="Current Employees"/>
    <x v="1"/>
    <x v="4"/>
    <s v="STAFF-1367"/>
    <n v="1367"/>
    <x v="0"/>
    <x v="3"/>
    <x v="0"/>
    <s v="No"/>
    <s v="Y"/>
    <n v="1"/>
    <n v="-2"/>
    <n v="0"/>
    <n v="51"/>
    <n v="0"/>
    <m/>
    <n v="0"/>
    <n v="1"/>
    <n v="1405"/>
    <n v="11"/>
    <x v="0"/>
    <n v="1"/>
    <n v="4"/>
    <n v="82"/>
    <n v="2"/>
    <n v="4"/>
    <n v="4"/>
    <n v="13142"/>
    <n v="24439"/>
    <n v="3"/>
    <n v="16"/>
    <n v="3"/>
    <n v="2"/>
    <n v="80"/>
    <n v="0"/>
    <n v="29"/>
    <n v="2"/>
    <n v="5"/>
    <n v="2"/>
    <n v="0"/>
    <n v="3"/>
  </r>
  <r>
    <s v="No"/>
    <s v="Non-Travel"/>
    <x v="4"/>
    <s v="Current Employees"/>
    <x v="1"/>
    <x v="0"/>
    <s v="STAFF-1368"/>
    <n v="1368"/>
    <x v="0"/>
    <x v="2"/>
    <x v="0"/>
    <s v="No"/>
    <s v="Y"/>
    <n v="5"/>
    <n v="-2"/>
    <n v="0"/>
    <n v="18"/>
    <n v="0"/>
    <m/>
    <n v="0"/>
    <n v="1"/>
    <n v="1124"/>
    <n v="1"/>
    <x v="3"/>
    <n v="1"/>
    <n v="4"/>
    <n v="97"/>
    <n v="3"/>
    <n v="1"/>
    <n v="4"/>
    <n v="1611"/>
    <n v="19305"/>
    <n v="1"/>
    <n v="15"/>
    <n v="3"/>
    <n v="3"/>
    <n v="80"/>
    <n v="0"/>
    <n v="0"/>
    <n v="4"/>
    <n v="0"/>
    <n v="0"/>
    <n v="0"/>
    <n v="0"/>
  </r>
  <r>
    <s v="No"/>
    <s v="Travel_Rarely"/>
    <x v="0"/>
    <s v="Current Employees"/>
    <x v="1"/>
    <x v="2"/>
    <s v="STAFF-1369"/>
    <n v="1369"/>
    <x v="0"/>
    <x v="2"/>
    <x v="1"/>
    <s v="No"/>
    <s v="Y"/>
    <n v="0"/>
    <n v="-2"/>
    <n v="0"/>
    <n v="35"/>
    <n v="0"/>
    <m/>
    <n v="0"/>
    <n v="1"/>
    <n v="817"/>
    <n v="1"/>
    <x v="3"/>
    <n v="1"/>
    <n v="4"/>
    <n v="60"/>
    <n v="2"/>
    <n v="2"/>
    <n v="4"/>
    <n v="5363"/>
    <n v="10846"/>
    <n v="0"/>
    <n v="12"/>
    <n v="3"/>
    <n v="2"/>
    <n v="80"/>
    <n v="1"/>
    <n v="10"/>
    <n v="3"/>
    <n v="9"/>
    <n v="7"/>
    <n v="0"/>
    <n v="0"/>
  </r>
  <r>
    <s v="No"/>
    <s v="Travel_Frequently"/>
    <x v="2"/>
    <s v="Current Employees"/>
    <x v="0"/>
    <x v="0"/>
    <s v="STAFF-1371"/>
    <n v="1371"/>
    <x v="1"/>
    <x v="0"/>
    <x v="0"/>
    <s v="No"/>
    <s v="Y"/>
    <n v="3"/>
    <n v="-2"/>
    <n v="0"/>
    <n v="27"/>
    <n v="0"/>
    <m/>
    <n v="0"/>
    <n v="1"/>
    <n v="793"/>
    <n v="2"/>
    <x v="1"/>
    <n v="1"/>
    <n v="4"/>
    <n v="43"/>
    <n v="1"/>
    <n v="2"/>
    <n v="4"/>
    <n v="5071"/>
    <n v="20392"/>
    <n v="3"/>
    <n v="20"/>
    <n v="4"/>
    <n v="2"/>
    <n v="80"/>
    <n v="0"/>
    <n v="8"/>
    <n v="3"/>
    <n v="6"/>
    <n v="2"/>
    <n v="0"/>
    <n v="0"/>
  </r>
  <r>
    <s v="Yes"/>
    <s v="Travel_Rarely"/>
    <x v="3"/>
    <s v="Ex-Employees"/>
    <x v="0"/>
    <x v="3"/>
    <s v="STAFF-1372"/>
    <n v="1372"/>
    <x v="1"/>
    <x v="0"/>
    <x v="0"/>
    <s v="Yes"/>
    <s v="Y"/>
    <n v="2"/>
    <n v="-2"/>
    <n v="0"/>
    <n v="55"/>
    <n v="1"/>
    <n v="1"/>
    <n v="1"/>
    <n v="0"/>
    <n v="267"/>
    <n v="13"/>
    <x v="2"/>
    <n v="1"/>
    <n v="1"/>
    <n v="85"/>
    <n v="4"/>
    <n v="4"/>
    <n v="2"/>
    <n v="13695"/>
    <n v="9277"/>
    <n v="6"/>
    <n v="17"/>
    <n v="3"/>
    <n v="3"/>
    <n v="80"/>
    <n v="0"/>
    <n v="24"/>
    <n v="2"/>
    <n v="19"/>
    <n v="7"/>
    <n v="3"/>
    <n v="8"/>
  </r>
  <r>
    <s v="No"/>
    <s v="Travel_Rarely"/>
    <x v="3"/>
    <s v="Current Employees"/>
    <x v="1"/>
    <x v="0"/>
    <s v="STAFF-1373"/>
    <n v="1373"/>
    <x v="1"/>
    <x v="3"/>
    <x v="1"/>
    <s v="Yes"/>
    <s v="Y"/>
    <n v="0"/>
    <n v="-2"/>
    <n v="0"/>
    <n v="56"/>
    <n v="0"/>
    <m/>
    <n v="0"/>
    <n v="1"/>
    <n v="1369"/>
    <n v="23"/>
    <x v="3"/>
    <n v="1"/>
    <n v="4"/>
    <n v="68"/>
    <n v="3"/>
    <n v="4"/>
    <n v="2"/>
    <n v="13402"/>
    <n v="18235"/>
    <n v="4"/>
    <n v="12"/>
    <n v="3"/>
    <n v="1"/>
    <n v="80"/>
    <n v="1"/>
    <n v="33"/>
    <n v="3"/>
    <n v="19"/>
    <n v="16"/>
    <n v="15"/>
    <n v="9"/>
  </r>
  <r>
    <s v="No"/>
    <s v="Non-Travel"/>
    <x v="2"/>
    <s v="Current Employees"/>
    <x v="1"/>
    <x v="4"/>
    <s v="STAFF-1374"/>
    <n v="1374"/>
    <x v="0"/>
    <x v="1"/>
    <x v="2"/>
    <s v="No"/>
    <s v="Y"/>
    <n v="2"/>
    <n v="-2"/>
    <n v="0"/>
    <n v="34"/>
    <n v="0"/>
    <m/>
    <n v="0"/>
    <n v="1"/>
    <n v="999"/>
    <n v="26"/>
    <x v="1"/>
    <n v="1"/>
    <n v="4"/>
    <n v="92"/>
    <n v="2"/>
    <n v="1"/>
    <n v="4"/>
    <n v="2029"/>
    <n v="15891"/>
    <n v="1"/>
    <n v="20"/>
    <n v="4"/>
    <n v="3"/>
    <n v="80"/>
    <n v="3"/>
    <n v="5"/>
    <n v="3"/>
    <n v="5"/>
    <n v="4"/>
    <n v="0"/>
    <n v="0"/>
  </r>
  <r>
    <s v="No"/>
    <s v="Travel_Rarely"/>
    <x v="0"/>
    <s v="Current Employees"/>
    <x v="1"/>
    <x v="2"/>
    <s v="STAFF-1375"/>
    <n v="1375"/>
    <x v="0"/>
    <x v="4"/>
    <x v="2"/>
    <s v="No"/>
    <s v="Y"/>
    <n v="0"/>
    <n v="-2"/>
    <n v="0"/>
    <n v="40"/>
    <n v="0"/>
    <m/>
    <n v="0"/>
    <n v="1"/>
    <n v="1202"/>
    <n v="2"/>
    <x v="1"/>
    <n v="1"/>
    <n v="2"/>
    <n v="89"/>
    <n v="4"/>
    <n v="2"/>
    <n v="3"/>
    <n v="6377"/>
    <n v="13888"/>
    <n v="5"/>
    <n v="20"/>
    <n v="4"/>
    <n v="2"/>
    <n v="80"/>
    <n v="3"/>
    <n v="15"/>
    <n v="3"/>
    <n v="12"/>
    <n v="11"/>
    <n v="11"/>
    <n v="8"/>
  </r>
  <r>
    <s v="No"/>
    <s v="Travel_Rarely"/>
    <x v="2"/>
    <s v="Current Employees"/>
    <x v="1"/>
    <x v="2"/>
    <s v="STAFF-1377"/>
    <n v="1377"/>
    <x v="1"/>
    <x v="2"/>
    <x v="1"/>
    <s v="No"/>
    <s v="Y"/>
    <n v="1"/>
    <n v="-2"/>
    <n v="0"/>
    <n v="34"/>
    <n v="0"/>
    <m/>
    <n v="0"/>
    <n v="1"/>
    <n v="285"/>
    <n v="29"/>
    <x v="3"/>
    <n v="1"/>
    <n v="2"/>
    <n v="86"/>
    <n v="3"/>
    <n v="2"/>
    <n v="3"/>
    <n v="5429"/>
    <n v="17491"/>
    <n v="4"/>
    <n v="13"/>
    <n v="3"/>
    <n v="1"/>
    <n v="80"/>
    <n v="2"/>
    <n v="10"/>
    <n v="3"/>
    <n v="8"/>
    <n v="7"/>
    <n v="7"/>
    <n v="7"/>
  </r>
  <r>
    <s v="Yes"/>
    <s v="Travel_Frequently"/>
    <x v="2"/>
    <s v="Ex-Employees"/>
    <x v="0"/>
    <x v="0"/>
    <s v="STAFF-1379"/>
    <n v="1379"/>
    <x v="0"/>
    <x v="6"/>
    <x v="0"/>
    <s v="No"/>
    <s v="Y"/>
    <n v="3"/>
    <n v="-2"/>
    <n v="0"/>
    <n v="31"/>
    <n v="1"/>
    <n v="1"/>
    <n v="1"/>
    <n v="0"/>
    <n v="703"/>
    <n v="2"/>
    <x v="3"/>
    <n v="1"/>
    <n v="3"/>
    <n v="90"/>
    <n v="2"/>
    <n v="1"/>
    <n v="4"/>
    <n v="2785"/>
    <n v="11882"/>
    <n v="7"/>
    <n v="14"/>
    <n v="3"/>
    <n v="3"/>
    <n v="80"/>
    <n v="0"/>
    <n v="3"/>
    <n v="4"/>
    <n v="1"/>
    <n v="0"/>
    <n v="0"/>
    <n v="0"/>
  </r>
  <r>
    <s v="Yes"/>
    <s v="Travel_Frequently"/>
    <x v="0"/>
    <s v="Ex-Employees"/>
    <x v="0"/>
    <x v="3"/>
    <s v="STAFF-1380"/>
    <n v="1380"/>
    <x v="0"/>
    <x v="0"/>
    <x v="1"/>
    <s v="Yes"/>
    <s v="Y"/>
    <n v="0"/>
    <n v="-2"/>
    <n v="0"/>
    <n v="35"/>
    <n v="1"/>
    <n v="1"/>
    <n v="1"/>
    <n v="0"/>
    <n v="662"/>
    <n v="18"/>
    <x v="2"/>
    <n v="1"/>
    <n v="4"/>
    <n v="67"/>
    <n v="3"/>
    <n v="2"/>
    <n v="2"/>
    <n v="4614"/>
    <n v="23288"/>
    <n v="0"/>
    <n v="18"/>
    <n v="3"/>
    <n v="3"/>
    <n v="80"/>
    <n v="1"/>
    <n v="5"/>
    <n v="2"/>
    <n v="4"/>
    <n v="2"/>
    <n v="3"/>
    <n v="2"/>
  </r>
  <r>
    <s v="No"/>
    <s v="Travel_Frequently"/>
    <x v="0"/>
    <s v="Current Employees"/>
    <x v="1"/>
    <x v="0"/>
    <s v="STAFF-1382"/>
    <n v="1382"/>
    <x v="1"/>
    <x v="1"/>
    <x v="2"/>
    <s v="No"/>
    <s v="Y"/>
    <n v="2"/>
    <n v="-2"/>
    <n v="0"/>
    <n v="38"/>
    <n v="0"/>
    <m/>
    <n v="0"/>
    <n v="1"/>
    <n v="693"/>
    <n v="7"/>
    <x v="3"/>
    <n v="1"/>
    <n v="4"/>
    <n v="57"/>
    <n v="4"/>
    <n v="1"/>
    <n v="3"/>
    <n v="2610"/>
    <n v="15748"/>
    <n v="1"/>
    <n v="11"/>
    <n v="3"/>
    <n v="4"/>
    <n v="80"/>
    <n v="3"/>
    <n v="4"/>
    <n v="3"/>
    <n v="4"/>
    <n v="2"/>
    <n v="0"/>
    <n v="3"/>
  </r>
  <r>
    <s v="No"/>
    <s v="Travel_Rarely"/>
    <x v="2"/>
    <s v="Current Employees"/>
    <x v="1"/>
    <x v="4"/>
    <s v="STAFF-1383"/>
    <n v="1383"/>
    <x v="0"/>
    <x v="4"/>
    <x v="0"/>
    <s v="No"/>
    <s v="Y"/>
    <n v="2"/>
    <n v="-2"/>
    <n v="0"/>
    <n v="34"/>
    <n v="0"/>
    <m/>
    <n v="0"/>
    <n v="1"/>
    <n v="404"/>
    <n v="2"/>
    <x v="2"/>
    <n v="1"/>
    <n v="4"/>
    <n v="98"/>
    <n v="3"/>
    <n v="2"/>
    <n v="4"/>
    <n v="6687"/>
    <n v="6163"/>
    <n v="1"/>
    <n v="11"/>
    <n v="3"/>
    <n v="4"/>
    <n v="80"/>
    <n v="0"/>
    <n v="14"/>
    <n v="4"/>
    <n v="14"/>
    <n v="11"/>
    <n v="4"/>
    <n v="11"/>
  </r>
  <r>
    <s v="No"/>
    <s v="Travel_Rarely"/>
    <x v="2"/>
    <s v="Current Employees"/>
    <x v="0"/>
    <x v="0"/>
    <s v="STAFF-1387"/>
    <n v="1387"/>
    <x v="1"/>
    <x v="0"/>
    <x v="1"/>
    <s v="No"/>
    <s v="Y"/>
    <n v="0"/>
    <n v="-2"/>
    <n v="0"/>
    <n v="28"/>
    <n v="0"/>
    <m/>
    <n v="0"/>
    <n v="1"/>
    <n v="736"/>
    <n v="26"/>
    <x v="3"/>
    <n v="1"/>
    <n v="3"/>
    <n v="48"/>
    <n v="2"/>
    <n v="2"/>
    <n v="3"/>
    <n v="4724"/>
    <n v="24232"/>
    <n v="1"/>
    <n v="11"/>
    <n v="3"/>
    <n v="3"/>
    <n v="80"/>
    <n v="1"/>
    <n v="5"/>
    <n v="3"/>
    <n v="5"/>
    <n v="3"/>
    <n v="0"/>
    <n v="4"/>
  </r>
  <r>
    <s v="Yes"/>
    <s v="Travel_Rarely"/>
    <x v="2"/>
    <s v="Ex-Employees"/>
    <x v="1"/>
    <x v="2"/>
    <s v="STAFF-1389"/>
    <n v="1389"/>
    <x v="1"/>
    <x v="3"/>
    <x v="1"/>
    <s v="Yes"/>
    <s v="Y"/>
    <n v="3"/>
    <n v="-2"/>
    <n v="0"/>
    <n v="31"/>
    <n v="1"/>
    <n v="1"/>
    <n v="1"/>
    <n v="0"/>
    <n v="330"/>
    <n v="22"/>
    <x v="2"/>
    <n v="1"/>
    <n v="4"/>
    <n v="98"/>
    <n v="3"/>
    <n v="2"/>
    <n v="3"/>
    <n v="6179"/>
    <n v="21057"/>
    <n v="1"/>
    <n v="15"/>
    <n v="3"/>
    <n v="4"/>
    <n v="80"/>
    <n v="2"/>
    <n v="10"/>
    <n v="2"/>
    <n v="10"/>
    <n v="2"/>
    <n v="6"/>
    <n v="7"/>
  </r>
  <r>
    <s v="No"/>
    <s v="Travel_Rarely"/>
    <x v="0"/>
    <s v="Current Employees"/>
    <x v="0"/>
    <x v="0"/>
    <s v="STAFF-1390"/>
    <n v="1390"/>
    <x v="1"/>
    <x v="0"/>
    <x v="1"/>
    <s v="Yes"/>
    <s v="Y"/>
    <n v="2"/>
    <n v="-2"/>
    <n v="0"/>
    <n v="39"/>
    <n v="0"/>
    <m/>
    <n v="0"/>
    <n v="1"/>
    <n v="1498"/>
    <n v="21"/>
    <x v="2"/>
    <n v="1"/>
    <n v="1"/>
    <n v="44"/>
    <n v="2"/>
    <n v="2"/>
    <n v="4"/>
    <n v="6120"/>
    <n v="3567"/>
    <n v="3"/>
    <n v="12"/>
    <n v="3"/>
    <n v="4"/>
    <n v="80"/>
    <n v="2"/>
    <n v="8"/>
    <n v="4"/>
    <n v="5"/>
    <n v="4"/>
    <n v="1"/>
    <n v="4"/>
  </r>
  <r>
    <s v="No"/>
    <s v="Travel_Frequently"/>
    <x v="1"/>
    <s v="Current Employees"/>
    <x v="0"/>
    <x v="3"/>
    <s v="STAFF-1391"/>
    <n v="1391"/>
    <x v="1"/>
    <x v="0"/>
    <x v="1"/>
    <s v="No"/>
    <s v="Y"/>
    <n v="5"/>
    <n v="-2"/>
    <n v="0"/>
    <n v="51"/>
    <n v="0"/>
    <m/>
    <n v="0"/>
    <n v="1"/>
    <n v="541"/>
    <n v="2"/>
    <x v="3"/>
    <n v="1"/>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n v="1"/>
    <n v="4"/>
    <n v="75"/>
    <n v="3"/>
    <n v="2"/>
    <n v="4"/>
    <n v="5467"/>
    <n v="13953"/>
    <n v="3"/>
    <n v="14"/>
    <n v="3"/>
    <n v="1"/>
    <n v="80"/>
    <n v="2"/>
    <n v="12"/>
    <n v="2"/>
    <n v="6"/>
    <n v="2"/>
    <n v="3"/>
    <n v="3"/>
  </r>
  <r>
    <s v="No"/>
    <s v="Travel_Rarely"/>
    <x v="0"/>
    <s v="Current Employees"/>
    <x v="1"/>
    <x v="0"/>
    <s v="STAFF-1394"/>
    <n v="1394"/>
    <x v="1"/>
    <x v="1"/>
    <x v="1"/>
    <s v="Yes"/>
    <s v="Y"/>
    <n v="2"/>
    <n v="-2"/>
    <n v="0"/>
    <n v="37"/>
    <n v="0"/>
    <m/>
    <n v="0"/>
    <n v="1"/>
    <n v="1439"/>
    <n v="4"/>
    <x v="1"/>
    <n v="1"/>
    <n v="3"/>
    <n v="54"/>
    <n v="3"/>
    <n v="1"/>
    <n v="3"/>
    <n v="2996"/>
    <n v="5182"/>
    <n v="7"/>
    <n v="15"/>
    <n v="3"/>
    <n v="4"/>
    <n v="80"/>
    <n v="0"/>
    <n v="8"/>
    <n v="3"/>
    <n v="6"/>
    <n v="4"/>
    <n v="1"/>
    <n v="3"/>
  </r>
  <r>
    <s v="No"/>
    <s v="Travel_Frequently"/>
    <x v="2"/>
    <s v="Current Employees"/>
    <x v="0"/>
    <x v="0"/>
    <s v="STAFF-1395"/>
    <n v="1395"/>
    <x v="1"/>
    <x v="0"/>
    <x v="1"/>
    <s v="No"/>
    <s v="Y"/>
    <n v="2"/>
    <n v="-2"/>
    <n v="0"/>
    <n v="33"/>
    <n v="0"/>
    <m/>
    <n v="0"/>
    <n v="1"/>
    <n v="1111"/>
    <n v="5"/>
    <x v="1"/>
    <n v="1"/>
    <n v="2"/>
    <n v="61"/>
    <n v="3"/>
    <n v="2"/>
    <n v="4"/>
    <n v="9998"/>
    <n v="19293"/>
    <n v="6"/>
    <n v="13"/>
    <n v="3"/>
    <n v="1"/>
    <n v="80"/>
    <n v="0"/>
    <n v="8"/>
    <n v="4"/>
    <n v="5"/>
    <n v="4"/>
    <n v="1"/>
    <n v="2"/>
  </r>
  <r>
    <s v="No"/>
    <s v="Travel_Rarely"/>
    <x v="2"/>
    <s v="Current Employees"/>
    <x v="0"/>
    <x v="3"/>
    <s v="STAFF-1396"/>
    <n v="1396"/>
    <x v="1"/>
    <x v="0"/>
    <x v="1"/>
    <s v="Yes"/>
    <s v="Y"/>
    <n v="3"/>
    <n v="-2"/>
    <n v="0"/>
    <n v="32"/>
    <n v="0"/>
    <m/>
    <n v="0"/>
    <n v="1"/>
    <n v="499"/>
    <n v="2"/>
    <x v="1"/>
    <n v="1"/>
    <n v="3"/>
    <n v="36"/>
    <n v="3"/>
    <n v="2"/>
    <n v="2"/>
    <n v="4078"/>
    <n v="20497"/>
    <n v="0"/>
    <n v="13"/>
    <n v="3"/>
    <n v="1"/>
    <n v="80"/>
    <n v="3"/>
    <n v="4"/>
    <n v="2"/>
    <n v="3"/>
    <n v="2"/>
    <n v="1"/>
    <n v="2"/>
  </r>
  <r>
    <s v="No"/>
    <s v="Non-Travel"/>
    <x v="0"/>
    <s v="Current Employees"/>
    <x v="1"/>
    <x v="0"/>
    <s v="STAFF-1397"/>
    <n v="1397"/>
    <x v="1"/>
    <x v="4"/>
    <x v="1"/>
    <s v="No"/>
    <s v="Y"/>
    <n v="2"/>
    <n v="-2"/>
    <n v="0"/>
    <n v="39"/>
    <n v="0"/>
    <m/>
    <n v="0"/>
    <n v="1"/>
    <n v="1485"/>
    <n v="25"/>
    <x v="0"/>
    <n v="1"/>
    <n v="3"/>
    <n v="71"/>
    <n v="3"/>
    <n v="3"/>
    <n v="3"/>
    <n v="10920"/>
    <n v="3449"/>
    <n v="3"/>
    <n v="21"/>
    <n v="4"/>
    <n v="2"/>
    <n v="80"/>
    <n v="1"/>
    <n v="13"/>
    <n v="3"/>
    <n v="6"/>
    <n v="4"/>
    <n v="0"/>
    <n v="5"/>
  </r>
  <r>
    <s v="No"/>
    <s v="Travel_Rarely"/>
    <x v="2"/>
    <s v="Current Employees"/>
    <x v="0"/>
    <x v="0"/>
    <s v="STAFF-1399"/>
    <n v="1399"/>
    <x v="1"/>
    <x v="0"/>
    <x v="1"/>
    <s v="No"/>
    <s v="Y"/>
    <n v="3"/>
    <n v="-2"/>
    <n v="0"/>
    <n v="25"/>
    <n v="0"/>
    <m/>
    <n v="0"/>
    <n v="1"/>
    <n v="1372"/>
    <n v="18"/>
    <x v="1"/>
    <n v="1"/>
    <n v="1"/>
    <n v="93"/>
    <n v="4"/>
    <n v="2"/>
    <n v="3"/>
    <n v="6232"/>
    <n v="12477"/>
    <n v="2"/>
    <n v="11"/>
    <n v="3"/>
    <n v="2"/>
    <n v="80"/>
    <n v="0"/>
    <n v="6"/>
    <n v="2"/>
    <n v="3"/>
    <n v="2"/>
    <n v="1"/>
    <n v="2"/>
  </r>
  <r>
    <s v="No"/>
    <s v="Travel_Frequently"/>
    <x v="1"/>
    <s v="Current Employees"/>
    <x v="1"/>
    <x v="2"/>
    <s v="STAFF-1401"/>
    <n v="1401"/>
    <x v="0"/>
    <x v="3"/>
    <x v="1"/>
    <s v="Yes"/>
    <s v="Y"/>
    <n v="3"/>
    <n v="-2"/>
    <n v="0"/>
    <n v="52"/>
    <n v="0"/>
    <m/>
    <n v="0"/>
    <n v="1"/>
    <n v="322"/>
    <n v="28"/>
    <x v="0"/>
    <n v="1"/>
    <n v="4"/>
    <n v="59"/>
    <n v="4"/>
    <n v="4"/>
    <n v="3"/>
    <n v="13247"/>
    <n v="9731"/>
    <n v="2"/>
    <n v="11"/>
    <n v="3"/>
    <n v="2"/>
    <n v="80"/>
    <n v="1"/>
    <n v="24"/>
    <n v="2"/>
    <n v="5"/>
    <n v="3"/>
    <n v="0"/>
    <n v="2"/>
  </r>
  <r>
    <s v="No"/>
    <s v="Travel_Rarely"/>
    <x v="0"/>
    <s v="Current Employees"/>
    <x v="1"/>
    <x v="2"/>
    <s v="STAFF-1402"/>
    <n v="1402"/>
    <x v="0"/>
    <x v="1"/>
    <x v="0"/>
    <s v="Yes"/>
    <s v="Y"/>
    <n v="3"/>
    <n v="-2"/>
    <n v="0"/>
    <n v="43"/>
    <n v="0"/>
    <m/>
    <n v="0"/>
    <n v="1"/>
    <n v="930"/>
    <n v="6"/>
    <x v="3"/>
    <n v="1"/>
    <n v="1"/>
    <n v="73"/>
    <n v="2"/>
    <n v="2"/>
    <n v="3"/>
    <n v="4081"/>
    <n v="20003"/>
    <n v="1"/>
    <n v="14"/>
    <n v="3"/>
    <n v="1"/>
    <n v="80"/>
    <n v="0"/>
    <n v="20"/>
    <n v="1"/>
    <n v="20"/>
    <n v="7"/>
    <n v="1"/>
    <n v="8"/>
  </r>
  <r>
    <s v="No"/>
    <s v="Travel_Rarely"/>
    <x v="2"/>
    <s v="Current Employees"/>
    <x v="0"/>
    <x v="3"/>
    <s v="STAFF-1403"/>
    <n v="1403"/>
    <x v="0"/>
    <x v="0"/>
    <x v="1"/>
    <s v="Yes"/>
    <s v="Y"/>
    <n v="3"/>
    <n v="-2"/>
    <n v="0"/>
    <n v="27"/>
    <n v="0"/>
    <m/>
    <n v="0"/>
    <n v="1"/>
    <n v="205"/>
    <n v="10"/>
    <x v="3"/>
    <n v="1"/>
    <n v="4"/>
    <n v="98"/>
    <n v="2"/>
    <n v="2"/>
    <n v="2"/>
    <n v="5769"/>
    <n v="7100"/>
    <n v="1"/>
    <n v="11"/>
    <n v="3"/>
    <n v="4"/>
    <n v="80"/>
    <n v="0"/>
    <n v="6"/>
    <n v="3"/>
    <n v="6"/>
    <n v="2"/>
    <n v="4"/>
    <n v="4"/>
  </r>
  <r>
    <s v="Yes"/>
    <s v="Travel_Rarely"/>
    <x v="2"/>
    <s v="Ex-Employees"/>
    <x v="1"/>
    <x v="0"/>
    <s v="STAFF-1405"/>
    <n v="1405"/>
    <x v="0"/>
    <x v="1"/>
    <x v="0"/>
    <s v="Yes"/>
    <s v="Y"/>
    <n v="2"/>
    <n v="-2"/>
    <n v="0"/>
    <n v="27"/>
    <n v="1"/>
    <n v="1"/>
    <n v="1"/>
    <n v="0"/>
    <n v="135"/>
    <n v="17"/>
    <x v="2"/>
    <n v="1"/>
    <n v="4"/>
    <n v="51"/>
    <n v="3"/>
    <n v="1"/>
    <n v="3"/>
    <n v="2394"/>
    <n v="25681"/>
    <n v="1"/>
    <n v="13"/>
    <n v="3"/>
    <n v="4"/>
    <n v="80"/>
    <n v="0"/>
    <n v="8"/>
    <n v="3"/>
    <n v="8"/>
    <n v="2"/>
    <n v="7"/>
    <n v="7"/>
  </r>
  <r>
    <s v="No"/>
    <s v="Travel_Rarely"/>
    <x v="2"/>
    <s v="Current Employees"/>
    <x v="1"/>
    <x v="2"/>
    <s v="STAFF-1407"/>
    <n v="1407"/>
    <x v="1"/>
    <x v="1"/>
    <x v="0"/>
    <s v="No"/>
    <s v="Y"/>
    <n v="2"/>
    <n v="-2"/>
    <n v="0"/>
    <n v="26"/>
    <n v="0"/>
    <m/>
    <n v="0"/>
    <n v="1"/>
    <n v="683"/>
    <n v="2"/>
    <x v="1"/>
    <n v="1"/>
    <n v="1"/>
    <n v="36"/>
    <n v="2"/>
    <n v="1"/>
    <n v="4"/>
    <n v="3904"/>
    <n v="4050"/>
    <n v="0"/>
    <n v="12"/>
    <n v="3"/>
    <n v="4"/>
    <n v="80"/>
    <n v="0"/>
    <n v="5"/>
    <n v="3"/>
    <n v="4"/>
    <n v="3"/>
    <n v="1"/>
    <n v="1"/>
  </r>
  <r>
    <s v="No"/>
    <s v="Travel_Rarely"/>
    <x v="0"/>
    <s v="Current Employees"/>
    <x v="2"/>
    <x v="5"/>
    <s v="STAFF-1408"/>
    <n v="1408"/>
    <x v="0"/>
    <x v="5"/>
    <x v="1"/>
    <s v="No"/>
    <s v="Y"/>
    <n v="5"/>
    <n v="-2"/>
    <n v="0"/>
    <n v="42"/>
    <n v="0"/>
    <m/>
    <n v="0"/>
    <n v="1"/>
    <n v="1147"/>
    <n v="10"/>
    <x v="3"/>
    <n v="1"/>
    <n v="3"/>
    <n v="31"/>
    <n v="3"/>
    <n v="4"/>
    <n v="3"/>
    <n v="16799"/>
    <n v="16616"/>
    <n v="0"/>
    <n v="14"/>
    <n v="3"/>
    <n v="3"/>
    <n v="80"/>
    <n v="1"/>
    <n v="21"/>
    <n v="3"/>
    <n v="20"/>
    <n v="7"/>
    <n v="0"/>
    <n v="9"/>
  </r>
  <r>
    <s v="No"/>
    <s v="Non-Travel"/>
    <x v="2"/>
    <s v="Current Employees"/>
    <x v="1"/>
    <x v="2"/>
    <s v="STAFF-1955"/>
    <n v="1955"/>
    <x v="0"/>
    <x v="4"/>
    <x v="2"/>
    <s v="No"/>
    <s v="Y"/>
    <n v="6"/>
    <n v="-2"/>
    <n v="0"/>
    <n v="32"/>
    <n v="0"/>
    <m/>
    <n v="0"/>
    <n v="1"/>
    <n v="1146"/>
    <n v="15"/>
    <x v="2"/>
    <n v="1"/>
    <n v="3"/>
    <n v="34"/>
    <n v="3"/>
    <n v="2"/>
    <n v="4"/>
    <n v="6667"/>
    <n v="16542"/>
    <n v="5"/>
    <n v="18"/>
    <n v="3"/>
    <n v="2"/>
    <n v="80"/>
    <n v="1"/>
    <n v="9"/>
    <n v="3"/>
    <n v="5"/>
    <n v="1"/>
    <n v="1"/>
    <n v="2"/>
  </r>
  <r>
    <s v="No"/>
    <s v="Non-Travel"/>
    <x v="0"/>
    <s v="Current Employees"/>
    <x v="1"/>
    <x v="2"/>
    <s v="STAFF-1662"/>
    <n v="1662"/>
    <x v="0"/>
    <x v="3"/>
    <x v="1"/>
    <s v="No"/>
    <s v="Y"/>
    <n v="6"/>
    <n v="-2"/>
    <n v="0"/>
    <n v="36"/>
    <n v="0"/>
    <m/>
    <n v="0"/>
    <n v="1"/>
    <n v="894"/>
    <n v="1"/>
    <x v="2"/>
    <n v="1"/>
    <n v="4"/>
    <n v="33"/>
    <n v="2"/>
    <n v="2"/>
    <n v="3"/>
    <n v="4374"/>
    <n v="15411"/>
    <n v="0"/>
    <n v="15"/>
    <n v="3"/>
    <n v="3"/>
    <n v="80"/>
    <n v="0"/>
    <n v="4"/>
    <n v="3"/>
    <n v="3"/>
    <n v="2"/>
    <n v="1"/>
    <n v="2"/>
  </r>
  <r>
    <s v="No"/>
    <s v="Non-Travel"/>
    <x v="0"/>
    <s v="Current Employees"/>
    <x v="1"/>
    <x v="0"/>
    <s v="STAFF-1630"/>
    <n v="1630"/>
    <x v="0"/>
    <x v="4"/>
    <x v="1"/>
    <s v="No"/>
    <s v="Y"/>
    <n v="5"/>
    <n v="-2"/>
    <n v="0"/>
    <n v="35"/>
    <n v="0"/>
    <m/>
    <n v="0"/>
    <n v="1"/>
    <n v="208"/>
    <n v="8"/>
    <x v="2"/>
    <n v="1"/>
    <n v="3"/>
    <n v="52"/>
    <n v="3"/>
    <n v="2"/>
    <n v="3"/>
    <n v="4148"/>
    <n v="12250"/>
    <n v="1"/>
    <n v="12"/>
    <n v="3"/>
    <n v="4"/>
    <n v="80"/>
    <n v="1"/>
    <n v="15"/>
    <n v="3"/>
    <n v="14"/>
    <n v="11"/>
    <n v="2"/>
    <n v="9"/>
  </r>
  <r>
    <s v="No"/>
    <s v="Non-Travel"/>
    <x v="1"/>
    <s v="Current Employees"/>
    <x v="1"/>
    <x v="2"/>
    <s v="STAFF-2000"/>
    <n v="2000"/>
    <x v="0"/>
    <x v="7"/>
    <x v="1"/>
    <s v="No"/>
    <s v="Y"/>
    <n v="3"/>
    <n v="-2"/>
    <n v="0"/>
    <n v="47"/>
    <n v="0"/>
    <m/>
    <n v="0"/>
    <n v="1"/>
    <n v="1162"/>
    <n v="1"/>
    <x v="1"/>
    <n v="1"/>
    <n v="3"/>
    <n v="98"/>
    <n v="3"/>
    <n v="3"/>
    <n v="2"/>
    <n v="11957"/>
    <n v="17231"/>
    <n v="0"/>
    <n v="18"/>
    <n v="3"/>
    <n v="1"/>
    <n v="80"/>
    <n v="2"/>
    <n v="14"/>
    <n v="1"/>
    <n v="13"/>
    <n v="8"/>
    <n v="5"/>
    <n v="12"/>
  </r>
  <r>
    <s v="No"/>
    <s v="Non-Travel"/>
    <x v="4"/>
    <s v="Current Employees"/>
    <x v="1"/>
    <x v="2"/>
    <s v="STAFF-1839"/>
    <n v="1839"/>
    <x v="0"/>
    <x v="1"/>
    <x v="0"/>
    <s v="No"/>
    <s v="Y"/>
    <n v="4"/>
    <n v="-2"/>
    <n v="0"/>
    <n v="18"/>
    <n v="0"/>
    <m/>
    <n v="0"/>
    <n v="1"/>
    <n v="1431"/>
    <n v="14"/>
    <x v="3"/>
    <n v="1"/>
    <n v="2"/>
    <n v="33"/>
    <n v="3"/>
    <n v="1"/>
    <n v="3"/>
    <n v="1514"/>
    <n v="8018"/>
    <n v="1"/>
    <n v="16"/>
    <n v="3"/>
    <n v="3"/>
    <n v="80"/>
    <n v="0"/>
    <n v="0"/>
    <n v="1"/>
    <n v="0"/>
    <n v="0"/>
    <n v="0"/>
    <n v="0"/>
  </r>
  <r>
    <s v="No"/>
    <s v="Non-Travel"/>
    <x v="0"/>
    <s v="Current Employees"/>
    <x v="0"/>
    <x v="0"/>
    <s v="STAFF-1929"/>
    <n v="1929"/>
    <x v="0"/>
    <x v="0"/>
    <x v="1"/>
    <s v="No"/>
    <s v="Y"/>
    <n v="1"/>
    <n v="-2"/>
    <n v="0"/>
    <n v="39"/>
    <n v="0"/>
    <m/>
    <n v="0"/>
    <n v="1"/>
    <n v="1251"/>
    <n v="21"/>
    <x v="2"/>
    <n v="1"/>
    <n v="1"/>
    <n v="32"/>
    <n v="1"/>
    <n v="2"/>
    <n v="3"/>
    <n v="5736"/>
    <n v="3987"/>
    <n v="6"/>
    <n v="19"/>
    <n v="3"/>
    <n v="3"/>
    <n v="80"/>
    <n v="1"/>
    <n v="10"/>
    <n v="3"/>
    <n v="3"/>
    <n v="2"/>
    <n v="1"/>
    <n v="2"/>
  </r>
  <r>
    <s v="No"/>
    <s v="Non-Travel"/>
    <x v="4"/>
    <s v="Current Employees"/>
    <x v="0"/>
    <x v="0"/>
    <s v="STAFF-1495"/>
    <n v="1495"/>
    <x v="0"/>
    <x v="6"/>
    <x v="1"/>
    <s v="No"/>
    <s v="Y"/>
    <n v="2"/>
    <n v="-2"/>
    <n v="0"/>
    <n v="24"/>
    <n v="0"/>
    <m/>
    <n v="0"/>
    <n v="1"/>
    <n v="830"/>
    <n v="13"/>
    <x v="0"/>
    <n v="1"/>
    <n v="4"/>
    <n v="78"/>
    <n v="3"/>
    <n v="1"/>
    <n v="2"/>
    <n v="2033"/>
    <n v="7103"/>
    <n v="1"/>
    <n v="13"/>
    <n v="3"/>
    <n v="3"/>
    <n v="80"/>
    <n v="1"/>
    <n v="1"/>
    <n v="3"/>
    <n v="1"/>
    <n v="0"/>
    <n v="0"/>
    <n v="0"/>
  </r>
  <r>
    <s v="No"/>
    <s v="Non-Travel"/>
    <x v="2"/>
    <s v="Current Employees"/>
    <x v="0"/>
    <x v="3"/>
    <s v="STAFF-1756"/>
    <n v="1756"/>
    <x v="0"/>
    <x v="0"/>
    <x v="0"/>
    <s v="No"/>
    <s v="Y"/>
    <n v="2"/>
    <n v="-2"/>
    <n v="0"/>
    <n v="33"/>
    <n v="0"/>
    <m/>
    <n v="0"/>
    <n v="1"/>
    <n v="1283"/>
    <n v="2"/>
    <x v="3"/>
    <n v="1"/>
    <n v="4"/>
    <n v="62"/>
    <n v="3"/>
    <n v="2"/>
    <n v="2"/>
    <n v="5147"/>
    <n v="10697"/>
    <n v="8"/>
    <n v="15"/>
    <n v="3"/>
    <n v="4"/>
    <n v="80"/>
    <n v="0"/>
    <n v="13"/>
    <n v="2"/>
    <n v="11"/>
    <n v="7"/>
    <n v="1"/>
    <n v="7"/>
  </r>
  <r>
    <s v="No"/>
    <s v="Travel_Frequently"/>
    <x v="1"/>
    <s v="Current Employees"/>
    <x v="1"/>
    <x v="2"/>
    <s v="STAFF-1900"/>
    <n v="1900"/>
    <x v="0"/>
    <x v="5"/>
    <x v="2"/>
    <s v="No"/>
    <s v="Y"/>
    <n v="3"/>
    <n v="-2"/>
    <n v="0"/>
    <n v="48"/>
    <n v="0"/>
    <m/>
    <n v="0"/>
    <n v="1"/>
    <n v="117"/>
    <n v="22"/>
    <x v="3"/>
    <n v="1"/>
    <n v="4"/>
    <n v="58"/>
    <n v="3"/>
    <n v="4"/>
    <n v="4"/>
    <n v="17174"/>
    <n v="2437"/>
    <n v="3"/>
    <n v="11"/>
    <n v="3"/>
    <n v="2"/>
    <n v="80"/>
    <n v="1"/>
    <n v="24"/>
    <n v="3"/>
    <n v="22"/>
    <n v="17"/>
    <n v="4"/>
    <n v="7"/>
  </r>
  <r>
    <s v="No"/>
    <s v="Travel_Frequently"/>
    <x v="0"/>
    <s v="Current Employees"/>
    <x v="1"/>
    <x v="0"/>
    <s v="STAFF-2025"/>
    <n v="2025"/>
    <x v="0"/>
    <x v="3"/>
    <x v="2"/>
    <s v="No"/>
    <s v="Y"/>
    <n v="3"/>
    <n v="-2"/>
    <n v="0"/>
    <n v="36"/>
    <n v="0"/>
    <m/>
    <n v="0"/>
    <n v="1"/>
    <n v="688"/>
    <n v="4"/>
    <x v="0"/>
    <n v="1"/>
    <n v="4"/>
    <n v="97"/>
    <n v="3"/>
    <n v="2"/>
    <n v="2"/>
    <n v="5131"/>
    <n v="9192"/>
    <n v="7"/>
    <n v="13"/>
    <n v="3"/>
    <n v="2"/>
    <n v="80"/>
    <n v="3"/>
    <n v="18"/>
    <n v="3"/>
    <n v="4"/>
    <n v="2"/>
    <n v="0"/>
    <n v="2"/>
  </r>
  <r>
    <s v="No"/>
    <s v="Travel_Frequently"/>
    <x v="0"/>
    <s v="Current Employees"/>
    <x v="1"/>
    <x v="2"/>
    <s v="STAFF-1760"/>
    <n v="1760"/>
    <x v="0"/>
    <x v="2"/>
    <x v="1"/>
    <s v="No"/>
    <s v="Y"/>
    <n v="4"/>
    <n v="-2"/>
    <n v="0"/>
    <n v="38"/>
    <n v="0"/>
    <m/>
    <n v="0"/>
    <n v="1"/>
    <n v="594"/>
    <n v="2"/>
    <x v="0"/>
    <n v="1"/>
    <n v="3"/>
    <n v="75"/>
    <n v="2"/>
    <n v="1"/>
    <n v="2"/>
    <n v="2468"/>
    <n v="15963"/>
    <n v="4"/>
    <n v="14"/>
    <n v="3"/>
    <n v="2"/>
    <n v="80"/>
    <n v="1"/>
    <n v="9"/>
    <n v="2"/>
    <n v="6"/>
    <n v="1"/>
    <n v="0"/>
    <n v="5"/>
  </r>
  <r>
    <s v="No"/>
    <s v="Travel_Frequently"/>
    <x v="2"/>
    <s v="Current Employees"/>
    <x v="1"/>
    <x v="0"/>
    <s v="STAFF-1870"/>
    <n v="1870"/>
    <x v="0"/>
    <x v="1"/>
    <x v="1"/>
    <s v="No"/>
    <s v="Y"/>
    <n v="2"/>
    <n v="-2"/>
    <n v="0"/>
    <n v="27"/>
    <n v="0"/>
    <m/>
    <n v="0"/>
    <n v="1"/>
    <n v="1131"/>
    <n v="15"/>
    <x v="3"/>
    <n v="1"/>
    <n v="4"/>
    <n v="77"/>
    <n v="2"/>
    <n v="1"/>
    <n v="3"/>
    <n v="4774"/>
    <n v="23844"/>
    <n v="0"/>
    <n v="19"/>
    <n v="3"/>
    <n v="4"/>
    <n v="80"/>
    <n v="1"/>
    <n v="8"/>
    <n v="2"/>
    <n v="7"/>
    <n v="6"/>
    <n v="7"/>
    <n v="3"/>
  </r>
  <r>
    <s v="No"/>
    <s v="Travel_Frequently"/>
    <x v="0"/>
    <s v="Current Employees"/>
    <x v="1"/>
    <x v="4"/>
    <s v="STAFF-1985"/>
    <n v="1985"/>
    <x v="0"/>
    <x v="2"/>
    <x v="1"/>
    <s v="No"/>
    <s v="Y"/>
    <n v="2"/>
    <n v="-2"/>
    <n v="0"/>
    <n v="40"/>
    <n v="0"/>
    <m/>
    <n v="0"/>
    <n v="1"/>
    <n v="692"/>
    <n v="11"/>
    <x v="3"/>
    <n v="1"/>
    <n v="4"/>
    <n v="73"/>
    <n v="3"/>
    <n v="2"/>
    <n v="4"/>
    <n v="6323"/>
    <n v="26849"/>
    <n v="1"/>
    <n v="11"/>
    <n v="3"/>
    <n v="1"/>
    <n v="80"/>
    <n v="1"/>
    <n v="10"/>
    <n v="4"/>
    <n v="10"/>
    <n v="9"/>
    <n v="9"/>
    <n v="4"/>
  </r>
  <r>
    <s v="No"/>
    <s v="Travel_Frequently"/>
    <x v="2"/>
    <s v="Current Employees"/>
    <x v="1"/>
    <x v="0"/>
    <s v="STAFF-1513"/>
    <n v="1513"/>
    <x v="0"/>
    <x v="2"/>
    <x v="1"/>
    <s v="No"/>
    <s v="Y"/>
    <n v="3"/>
    <n v="-2"/>
    <n v="0"/>
    <n v="29"/>
    <n v="0"/>
    <m/>
    <n v="0"/>
    <n v="1"/>
    <n v="410"/>
    <n v="2"/>
    <x v="1"/>
    <n v="1"/>
    <n v="4"/>
    <n v="97"/>
    <n v="3"/>
    <n v="1"/>
    <n v="2"/>
    <n v="3180"/>
    <n v="4668"/>
    <n v="0"/>
    <n v="13"/>
    <n v="3"/>
    <n v="3"/>
    <n v="80"/>
    <n v="3"/>
    <n v="4"/>
    <n v="3"/>
    <n v="3"/>
    <n v="2"/>
    <n v="0"/>
    <n v="2"/>
  </r>
  <r>
    <s v="No"/>
    <s v="Travel_Frequently"/>
    <x v="0"/>
    <s v="Current Employees"/>
    <x v="1"/>
    <x v="2"/>
    <s v="STAFF-1633"/>
    <n v="1633"/>
    <x v="0"/>
    <x v="3"/>
    <x v="0"/>
    <s v="No"/>
    <s v="Y"/>
    <n v="2"/>
    <n v="-2"/>
    <n v="0"/>
    <n v="39"/>
    <n v="0"/>
    <m/>
    <n v="0"/>
    <n v="1"/>
    <n v="711"/>
    <n v="4"/>
    <x v="3"/>
    <n v="1"/>
    <n v="1"/>
    <n v="81"/>
    <n v="3"/>
    <n v="2"/>
    <n v="3"/>
    <n v="5042"/>
    <n v="3140"/>
    <n v="0"/>
    <n v="13"/>
    <n v="3"/>
    <n v="4"/>
    <n v="80"/>
    <n v="0"/>
    <n v="10"/>
    <n v="1"/>
    <n v="9"/>
    <n v="2"/>
    <n v="3"/>
    <n v="8"/>
  </r>
  <r>
    <s v="No"/>
    <s v="Travel_Frequently"/>
    <x v="0"/>
    <s v="Current Employees"/>
    <x v="1"/>
    <x v="2"/>
    <s v="STAFF-1480"/>
    <n v="1480"/>
    <x v="0"/>
    <x v="2"/>
    <x v="0"/>
    <s v="No"/>
    <s v="Y"/>
    <n v="3"/>
    <n v="-2"/>
    <n v="0"/>
    <n v="42"/>
    <n v="0"/>
    <m/>
    <n v="0"/>
    <n v="1"/>
    <n v="748"/>
    <n v="9"/>
    <x v="0"/>
    <n v="1"/>
    <n v="1"/>
    <n v="74"/>
    <n v="3"/>
    <n v="1"/>
    <n v="4"/>
    <n v="3673"/>
    <n v="16458"/>
    <n v="1"/>
    <n v="13"/>
    <n v="3"/>
    <n v="3"/>
    <n v="80"/>
    <n v="0"/>
    <n v="12"/>
    <n v="3"/>
    <n v="12"/>
    <n v="9"/>
    <n v="5"/>
    <n v="8"/>
  </r>
  <r>
    <s v="No"/>
    <s v="Travel_Frequently"/>
    <x v="2"/>
    <s v="Current Employees"/>
    <x v="1"/>
    <x v="4"/>
    <s v="STAFF-1745"/>
    <n v="1745"/>
    <x v="0"/>
    <x v="1"/>
    <x v="0"/>
    <s v="No"/>
    <s v="Y"/>
    <n v="2"/>
    <n v="-2"/>
    <n v="0"/>
    <n v="30"/>
    <n v="0"/>
    <m/>
    <n v="0"/>
    <n v="1"/>
    <n v="1312"/>
    <n v="2"/>
    <x v="2"/>
    <n v="1"/>
    <n v="4"/>
    <n v="78"/>
    <n v="2"/>
    <n v="1"/>
    <n v="4"/>
    <n v="4968"/>
    <n v="26427"/>
    <n v="0"/>
    <n v="16"/>
    <n v="3"/>
    <n v="4"/>
    <n v="80"/>
    <n v="0"/>
    <n v="10"/>
    <n v="3"/>
    <n v="9"/>
    <n v="7"/>
    <n v="0"/>
    <n v="7"/>
  </r>
  <r>
    <s v="No"/>
    <s v="Travel_Frequently"/>
    <x v="0"/>
    <s v="Current Employees"/>
    <x v="0"/>
    <x v="3"/>
    <s v="STAFF-1481"/>
    <n v="1481"/>
    <x v="0"/>
    <x v="0"/>
    <x v="1"/>
    <s v="No"/>
    <s v="Y"/>
    <n v="4"/>
    <n v="-2"/>
    <n v="0"/>
    <n v="44"/>
    <n v="0"/>
    <m/>
    <n v="0"/>
    <n v="1"/>
    <n v="383"/>
    <n v="1"/>
    <x v="4"/>
    <n v="1"/>
    <n v="1"/>
    <n v="79"/>
    <n v="3"/>
    <n v="2"/>
    <n v="2"/>
    <n v="4768"/>
    <n v="9282"/>
    <n v="7"/>
    <n v="12"/>
    <n v="3"/>
    <n v="3"/>
    <n v="80"/>
    <n v="1"/>
    <n v="11"/>
    <n v="2"/>
    <n v="1"/>
    <n v="0"/>
    <n v="0"/>
    <n v="0"/>
  </r>
  <r>
    <s v="No"/>
    <s v="Travel_Frequently"/>
    <x v="2"/>
    <s v="Current Employees"/>
    <x v="0"/>
    <x v="3"/>
    <s v="STAFF-1833"/>
    <n v="1833"/>
    <x v="0"/>
    <x v="0"/>
    <x v="1"/>
    <s v="No"/>
    <s v="Y"/>
    <n v="3"/>
    <n v="-2"/>
    <n v="0"/>
    <n v="31"/>
    <n v="0"/>
    <m/>
    <n v="0"/>
    <n v="1"/>
    <n v="1125"/>
    <n v="7"/>
    <x v="2"/>
    <n v="1"/>
    <n v="1"/>
    <n v="68"/>
    <n v="3"/>
    <n v="3"/>
    <n v="2"/>
    <n v="9637"/>
    <n v="8277"/>
    <n v="2"/>
    <n v="14"/>
    <n v="3"/>
    <n v="4"/>
    <n v="80"/>
    <n v="2"/>
    <n v="9"/>
    <n v="3"/>
    <n v="3"/>
    <n v="2"/>
    <n v="2"/>
    <n v="2"/>
  </r>
  <r>
    <s v="No"/>
    <s v="Travel_Rarely"/>
    <x v="2"/>
    <s v="Current Employees"/>
    <x v="2"/>
    <x v="5"/>
    <s v="STAFF-1987"/>
    <n v="1987"/>
    <x v="0"/>
    <x v="8"/>
    <x v="1"/>
    <s v="No"/>
    <s v="Y"/>
    <n v="3"/>
    <n v="-2"/>
    <n v="0"/>
    <n v="25"/>
    <n v="0"/>
    <m/>
    <n v="0"/>
    <n v="1"/>
    <n v="309"/>
    <n v="2"/>
    <x v="3"/>
    <n v="1"/>
    <n v="3"/>
    <n v="82"/>
    <n v="3"/>
    <n v="1"/>
    <n v="2"/>
    <n v="2187"/>
    <n v="19655"/>
    <n v="4"/>
    <n v="14"/>
    <n v="3"/>
    <n v="3"/>
    <n v="80"/>
    <n v="0"/>
    <n v="6"/>
    <n v="3"/>
    <n v="2"/>
    <n v="0"/>
    <n v="1"/>
    <n v="2"/>
  </r>
  <r>
    <s v="No"/>
    <s v="Travel_Rarely"/>
    <x v="1"/>
    <s v="Current Employees"/>
    <x v="2"/>
    <x v="0"/>
    <s v="STAFF-1625"/>
    <n v="1625"/>
    <x v="0"/>
    <x v="5"/>
    <x v="1"/>
    <s v="No"/>
    <s v="Y"/>
    <n v="2"/>
    <n v="-2"/>
    <n v="0"/>
    <n v="47"/>
    <n v="0"/>
    <m/>
    <n v="0"/>
    <n v="1"/>
    <n v="1176"/>
    <n v="26"/>
    <x v="2"/>
    <n v="1"/>
    <n v="4"/>
    <n v="98"/>
    <n v="3"/>
    <n v="5"/>
    <n v="3"/>
    <n v="19658"/>
    <n v="5220"/>
    <n v="3"/>
    <n v="11"/>
    <n v="3"/>
    <n v="3"/>
    <n v="80"/>
    <n v="1"/>
    <n v="27"/>
    <n v="3"/>
    <n v="5"/>
    <n v="2"/>
    <n v="1"/>
    <n v="0"/>
  </r>
  <r>
    <s v="No"/>
    <s v="Travel_Rarely"/>
    <x v="2"/>
    <s v="Current Employees"/>
    <x v="2"/>
    <x v="2"/>
    <s v="STAFF-1461"/>
    <n v="1461"/>
    <x v="0"/>
    <x v="8"/>
    <x v="0"/>
    <s v="No"/>
    <s v="Y"/>
    <n v="3"/>
    <n v="-2"/>
    <n v="0"/>
    <n v="31"/>
    <n v="0"/>
    <m/>
    <n v="0"/>
    <n v="1"/>
    <n v="1398"/>
    <n v="8"/>
    <x v="0"/>
    <n v="1"/>
    <n v="4"/>
    <n v="96"/>
    <n v="4"/>
    <n v="1"/>
    <n v="2"/>
    <n v="2109"/>
    <n v="24609"/>
    <n v="9"/>
    <n v="18"/>
    <n v="3"/>
    <n v="4"/>
    <n v="80"/>
    <n v="0"/>
    <n v="8"/>
    <n v="3"/>
    <n v="3"/>
    <n v="2"/>
    <n v="0"/>
    <n v="2"/>
  </r>
  <r>
    <s v="No"/>
    <s v="Travel_Rarely"/>
    <x v="2"/>
    <s v="Current Employees"/>
    <x v="1"/>
    <x v="2"/>
    <s v="STAFF-1916"/>
    <n v="1916"/>
    <x v="0"/>
    <x v="2"/>
    <x v="2"/>
    <s v="No"/>
    <s v="Y"/>
    <n v="0"/>
    <n v="-2"/>
    <n v="0"/>
    <n v="31"/>
    <n v="0"/>
    <m/>
    <n v="0"/>
    <n v="1"/>
    <n v="471"/>
    <n v="4"/>
    <x v="3"/>
    <n v="1"/>
    <n v="1"/>
    <n v="62"/>
    <n v="4"/>
    <n v="1"/>
    <n v="3"/>
    <n v="3978"/>
    <n v="16031"/>
    <n v="8"/>
    <n v="12"/>
    <n v="3"/>
    <n v="2"/>
    <n v="80"/>
    <n v="1"/>
    <n v="4"/>
    <n v="2"/>
    <n v="2"/>
    <n v="2"/>
    <n v="2"/>
    <n v="2"/>
  </r>
  <r>
    <s v="No"/>
    <s v="Travel_Rarely"/>
    <x v="0"/>
    <s v="Current Employees"/>
    <x v="1"/>
    <x v="0"/>
    <s v="STAFF-1829"/>
    <n v="1829"/>
    <x v="0"/>
    <x v="4"/>
    <x v="2"/>
    <s v="No"/>
    <s v="Y"/>
    <n v="3"/>
    <n v="-2"/>
    <n v="0"/>
    <n v="40"/>
    <n v="0"/>
    <m/>
    <n v="0"/>
    <n v="1"/>
    <n v="750"/>
    <n v="12"/>
    <x v="3"/>
    <n v="1"/>
    <n v="2"/>
    <n v="47"/>
    <n v="3"/>
    <n v="2"/>
    <n v="3"/>
    <n v="4448"/>
    <n v="10748"/>
    <n v="2"/>
    <n v="12"/>
    <n v="3"/>
    <n v="2"/>
    <n v="80"/>
    <n v="1"/>
    <n v="15"/>
    <n v="3"/>
    <n v="7"/>
    <n v="4"/>
    <n v="7"/>
    <n v="7"/>
  </r>
  <r>
    <s v="No"/>
    <s v="Travel_Rarely"/>
    <x v="0"/>
    <s v="Current Employees"/>
    <x v="1"/>
    <x v="0"/>
    <s v="STAFF-1822"/>
    <n v="1822"/>
    <x v="0"/>
    <x v="4"/>
    <x v="2"/>
    <s v="No"/>
    <s v="Y"/>
    <n v="3"/>
    <n v="-2"/>
    <n v="0"/>
    <n v="40"/>
    <n v="0"/>
    <m/>
    <n v="0"/>
    <n v="1"/>
    <n v="1194"/>
    <n v="1"/>
    <x v="3"/>
    <n v="1"/>
    <n v="3"/>
    <n v="52"/>
    <n v="3"/>
    <n v="2"/>
    <n v="4"/>
    <n v="6513"/>
    <n v="9060"/>
    <n v="4"/>
    <n v="17"/>
    <n v="3"/>
    <n v="4"/>
    <n v="80"/>
    <n v="1"/>
    <n v="12"/>
    <n v="3"/>
    <n v="5"/>
    <n v="3"/>
    <n v="0"/>
    <n v="3"/>
  </r>
  <r>
    <s v="No"/>
    <s v="Travel_Rarely"/>
    <x v="2"/>
    <s v="Current Employees"/>
    <x v="1"/>
    <x v="4"/>
    <s v="STAFF-1762"/>
    <n v="1762"/>
    <x v="0"/>
    <x v="1"/>
    <x v="2"/>
    <s v="No"/>
    <s v="Y"/>
    <n v="2"/>
    <n v="-2"/>
    <n v="0"/>
    <n v="29"/>
    <n v="0"/>
    <m/>
    <n v="0"/>
    <n v="1"/>
    <n v="590"/>
    <n v="4"/>
    <x v="3"/>
    <n v="1"/>
    <n v="4"/>
    <n v="91"/>
    <n v="2"/>
    <n v="1"/>
    <n v="4"/>
    <n v="2109"/>
    <n v="10007"/>
    <n v="1"/>
    <n v="13"/>
    <n v="3"/>
    <n v="3"/>
    <n v="80"/>
    <n v="1"/>
    <n v="1"/>
    <n v="3"/>
    <n v="1"/>
    <n v="0"/>
    <n v="0"/>
    <n v="0"/>
  </r>
  <r>
    <s v="No"/>
    <s v="Travel_Rarely"/>
    <x v="2"/>
    <s v="Current Employees"/>
    <x v="1"/>
    <x v="0"/>
    <s v="STAFF-1658"/>
    <n v="1658"/>
    <x v="0"/>
    <x v="1"/>
    <x v="2"/>
    <s v="No"/>
    <s v="Y"/>
    <n v="2"/>
    <n v="-2"/>
    <n v="0"/>
    <n v="34"/>
    <n v="0"/>
    <m/>
    <n v="0"/>
    <n v="1"/>
    <n v="1130"/>
    <n v="3"/>
    <x v="3"/>
    <n v="1"/>
    <n v="4"/>
    <n v="66"/>
    <n v="3"/>
    <n v="2"/>
    <n v="2"/>
    <n v="5433"/>
    <n v="19332"/>
    <n v="1"/>
    <n v="12"/>
    <n v="3"/>
    <n v="3"/>
    <n v="80"/>
    <n v="1"/>
    <n v="11"/>
    <n v="3"/>
    <n v="11"/>
    <n v="8"/>
    <n v="7"/>
    <n v="9"/>
  </r>
  <r>
    <s v="No"/>
    <s v="Travel_Rarely"/>
    <x v="1"/>
    <s v="Current Employees"/>
    <x v="1"/>
    <x v="1"/>
    <s v="STAFF-1635"/>
    <n v="1635"/>
    <x v="0"/>
    <x v="3"/>
    <x v="2"/>
    <s v="No"/>
    <s v="Y"/>
    <n v="3"/>
    <n v="-2"/>
    <n v="0"/>
    <n v="45"/>
    <n v="0"/>
    <m/>
    <n v="0"/>
    <n v="1"/>
    <n v="1329"/>
    <n v="2"/>
    <x v="0"/>
    <n v="1"/>
    <n v="4"/>
    <n v="59"/>
    <n v="2"/>
    <n v="2"/>
    <n v="4"/>
    <n v="5770"/>
    <n v="5388"/>
    <n v="1"/>
    <n v="19"/>
    <n v="3"/>
    <n v="1"/>
    <n v="80"/>
    <n v="2"/>
    <n v="10"/>
    <n v="3"/>
    <n v="10"/>
    <n v="7"/>
    <n v="3"/>
    <n v="9"/>
  </r>
  <r>
    <s v="No"/>
    <s v="Travel_Rarely"/>
    <x v="1"/>
    <s v="Current Employees"/>
    <x v="1"/>
    <x v="0"/>
    <s v="STAFF-1656"/>
    <n v="1656"/>
    <x v="0"/>
    <x v="7"/>
    <x v="2"/>
    <s v="No"/>
    <s v="Y"/>
    <n v="3"/>
    <n v="-2"/>
    <n v="0"/>
    <n v="50"/>
    <n v="0"/>
    <m/>
    <n v="0"/>
    <n v="1"/>
    <n v="813"/>
    <n v="17"/>
    <x v="4"/>
    <n v="1"/>
    <n v="4"/>
    <n v="50"/>
    <n v="2"/>
    <n v="3"/>
    <n v="3"/>
    <n v="13269"/>
    <n v="21981"/>
    <n v="5"/>
    <n v="15"/>
    <n v="3"/>
    <n v="3"/>
    <n v="80"/>
    <n v="3"/>
    <n v="19"/>
    <n v="3"/>
    <n v="14"/>
    <n v="11"/>
    <n v="1"/>
    <n v="11"/>
  </r>
  <r>
    <s v="No"/>
    <s v="Travel_Rarely"/>
    <x v="2"/>
    <s v="Current Employees"/>
    <x v="1"/>
    <x v="2"/>
    <s v="STAFF-1502"/>
    <n v="1502"/>
    <x v="0"/>
    <x v="2"/>
    <x v="1"/>
    <s v="No"/>
    <s v="Y"/>
    <n v="5"/>
    <n v="-2"/>
    <n v="0"/>
    <n v="33"/>
    <n v="0"/>
    <m/>
    <n v="0"/>
    <n v="1"/>
    <n v="1099"/>
    <n v="4"/>
    <x v="2"/>
    <n v="1"/>
    <n v="1"/>
    <n v="82"/>
    <n v="2"/>
    <n v="1"/>
    <n v="2"/>
    <n v="3838"/>
    <n v="8192"/>
    <n v="8"/>
    <n v="11"/>
    <n v="3"/>
    <n v="4"/>
    <n v="80"/>
    <n v="0"/>
    <n v="8"/>
    <n v="3"/>
    <n v="5"/>
    <n v="4"/>
    <n v="0"/>
    <n v="2"/>
  </r>
  <r>
    <s v="No"/>
    <s v="Travel_Rarely"/>
    <x v="0"/>
    <s v="Current Employees"/>
    <x v="1"/>
    <x v="2"/>
    <s v="STAFF-1866"/>
    <n v="1866"/>
    <x v="0"/>
    <x v="5"/>
    <x v="1"/>
    <s v="No"/>
    <s v="Y"/>
    <n v="2"/>
    <n v="-2"/>
    <n v="0"/>
    <n v="43"/>
    <n v="0"/>
    <m/>
    <n v="0"/>
    <n v="1"/>
    <n v="823"/>
    <n v="6"/>
    <x v="3"/>
    <n v="1"/>
    <n v="1"/>
    <n v="81"/>
    <n v="2"/>
    <n v="5"/>
    <n v="3"/>
    <n v="19392"/>
    <n v="22539"/>
    <n v="7"/>
    <n v="13"/>
    <n v="3"/>
    <n v="4"/>
    <n v="80"/>
    <n v="0"/>
    <n v="21"/>
    <n v="3"/>
    <n v="16"/>
    <n v="12"/>
    <n v="6"/>
    <n v="14"/>
  </r>
  <r>
    <s v="No"/>
    <s v="Travel_Rarely"/>
    <x v="1"/>
    <s v="Current Employees"/>
    <x v="1"/>
    <x v="4"/>
    <s v="STAFF-1786"/>
    <n v="1786"/>
    <x v="0"/>
    <x v="5"/>
    <x v="1"/>
    <s v="No"/>
    <s v="Y"/>
    <n v="2"/>
    <n v="-2"/>
    <n v="0"/>
    <n v="51"/>
    <n v="0"/>
    <m/>
    <n v="0"/>
    <n v="1"/>
    <n v="942"/>
    <n v="3"/>
    <x v="3"/>
    <n v="1"/>
    <n v="4"/>
    <n v="53"/>
    <n v="3"/>
    <n v="3"/>
    <n v="4"/>
    <n v="13116"/>
    <n v="22984"/>
    <n v="2"/>
    <n v="11"/>
    <n v="3"/>
    <n v="4"/>
    <n v="80"/>
    <n v="0"/>
    <n v="15"/>
    <n v="3"/>
    <n v="2"/>
    <n v="2"/>
    <n v="2"/>
    <n v="2"/>
  </r>
  <r>
    <s v="No"/>
    <s v="Travel_Rarely"/>
    <x v="2"/>
    <s v="Current Employees"/>
    <x v="1"/>
    <x v="0"/>
    <s v="STAFF-1701"/>
    <n v="1701"/>
    <x v="0"/>
    <x v="1"/>
    <x v="1"/>
    <s v="No"/>
    <s v="Y"/>
    <n v="3"/>
    <n v="-2"/>
    <n v="0"/>
    <n v="34"/>
    <n v="0"/>
    <m/>
    <n v="0"/>
    <n v="1"/>
    <n v="678"/>
    <n v="19"/>
    <x v="3"/>
    <n v="1"/>
    <n v="2"/>
    <n v="35"/>
    <n v="2"/>
    <n v="1"/>
    <n v="4"/>
    <n v="2929"/>
    <n v="20338"/>
    <n v="1"/>
    <n v="12"/>
    <n v="3"/>
    <n v="2"/>
    <n v="80"/>
    <n v="0"/>
    <n v="10"/>
    <n v="3"/>
    <n v="10"/>
    <n v="9"/>
    <n v="8"/>
    <n v="7"/>
  </r>
  <r>
    <s v="No"/>
    <s v="Travel_Rarely"/>
    <x v="2"/>
    <s v="Current Employees"/>
    <x v="1"/>
    <x v="2"/>
    <s v="STAFF-1647"/>
    <n v="1647"/>
    <x v="0"/>
    <x v="1"/>
    <x v="1"/>
    <s v="No"/>
    <s v="Y"/>
    <n v="0"/>
    <n v="-2"/>
    <n v="0"/>
    <n v="27"/>
    <n v="0"/>
    <m/>
    <n v="0"/>
    <n v="1"/>
    <n v="486"/>
    <n v="8"/>
    <x v="3"/>
    <n v="1"/>
    <n v="2"/>
    <n v="86"/>
    <n v="4"/>
    <n v="1"/>
    <n v="3"/>
    <n v="3517"/>
    <n v="22490"/>
    <n v="7"/>
    <n v="17"/>
    <n v="3"/>
    <n v="1"/>
    <n v="80"/>
    <n v="0"/>
    <n v="5"/>
    <n v="3"/>
    <n v="3"/>
    <n v="2"/>
    <n v="0"/>
    <n v="2"/>
  </r>
  <r>
    <s v="No"/>
    <s v="Travel_Rarely"/>
    <x v="1"/>
    <s v="Current Employees"/>
    <x v="1"/>
    <x v="1"/>
    <s v="STAFF-1409"/>
    <n v="1409"/>
    <x v="0"/>
    <x v="2"/>
    <x v="1"/>
    <s v="No"/>
    <s v="Y"/>
    <n v="2"/>
    <n v="-2"/>
    <n v="0"/>
    <n v="52"/>
    <n v="0"/>
    <m/>
    <n v="0"/>
    <n v="1"/>
    <n v="258"/>
    <n v="8"/>
    <x v="2"/>
    <n v="1"/>
    <n v="3"/>
    <n v="54"/>
    <n v="3"/>
    <n v="1"/>
    <n v="3"/>
    <n v="2950"/>
    <n v="17363"/>
    <n v="9"/>
    <n v="13"/>
    <n v="3"/>
    <n v="3"/>
    <n v="80"/>
    <n v="0"/>
    <n v="12"/>
    <n v="1"/>
    <n v="5"/>
    <n v="4"/>
    <n v="0"/>
    <n v="4"/>
  </r>
  <r>
    <s v="No"/>
    <s v="Travel_Rarely"/>
    <x v="0"/>
    <s v="Current Employees"/>
    <x v="1"/>
    <x v="2"/>
    <s v="STAFF-2015"/>
    <n v="2015"/>
    <x v="0"/>
    <x v="7"/>
    <x v="1"/>
    <s v="No"/>
    <s v="Y"/>
    <n v="3"/>
    <n v="-2"/>
    <n v="0"/>
    <n v="38"/>
    <n v="0"/>
    <m/>
    <n v="0"/>
    <n v="1"/>
    <n v="201"/>
    <n v="10"/>
    <x v="3"/>
    <n v="1"/>
    <n v="2"/>
    <n v="99"/>
    <n v="1"/>
    <n v="3"/>
    <n v="3"/>
    <n v="13206"/>
    <n v="3376"/>
    <n v="3"/>
    <n v="12"/>
    <n v="3"/>
    <n v="1"/>
    <n v="80"/>
    <n v="1"/>
    <n v="20"/>
    <n v="3"/>
    <n v="18"/>
    <n v="16"/>
    <n v="1"/>
    <n v="11"/>
  </r>
  <r>
    <s v="No"/>
    <s v="Travel_Rarely"/>
    <x v="0"/>
    <s v="Current Employees"/>
    <x v="1"/>
    <x v="2"/>
    <s v="STAFF-1640"/>
    <n v="1640"/>
    <x v="0"/>
    <x v="1"/>
    <x v="1"/>
    <s v="No"/>
    <s v="Y"/>
    <n v="2"/>
    <n v="-2"/>
    <n v="0"/>
    <n v="37"/>
    <n v="0"/>
    <m/>
    <n v="0"/>
    <n v="1"/>
    <n v="1470"/>
    <n v="10"/>
    <x v="3"/>
    <n v="1"/>
    <n v="2"/>
    <n v="71"/>
    <n v="3"/>
    <n v="1"/>
    <n v="2"/>
    <n v="3936"/>
    <n v="9953"/>
    <n v="1"/>
    <n v="11"/>
    <n v="3"/>
    <n v="1"/>
    <n v="80"/>
    <n v="1"/>
    <n v="8"/>
    <n v="1"/>
    <n v="8"/>
    <n v="4"/>
    <n v="7"/>
    <n v="7"/>
  </r>
  <r>
    <s v="No"/>
    <s v="Travel_Rarely"/>
    <x v="2"/>
    <s v="Current Employees"/>
    <x v="1"/>
    <x v="1"/>
    <s v="STAFF-1544"/>
    <n v="1544"/>
    <x v="0"/>
    <x v="4"/>
    <x v="1"/>
    <s v="No"/>
    <s v="Y"/>
    <n v="3"/>
    <n v="-2"/>
    <n v="0"/>
    <n v="29"/>
    <n v="0"/>
    <m/>
    <n v="0"/>
    <n v="1"/>
    <n v="441"/>
    <n v="8"/>
    <x v="1"/>
    <n v="1"/>
    <n v="3"/>
    <n v="39"/>
    <n v="1"/>
    <n v="2"/>
    <n v="3"/>
    <n v="9715"/>
    <n v="7288"/>
    <n v="3"/>
    <n v="13"/>
    <n v="3"/>
    <n v="3"/>
    <n v="80"/>
    <n v="1"/>
    <n v="9"/>
    <n v="3"/>
    <n v="7"/>
    <n v="7"/>
    <n v="0"/>
    <n v="7"/>
  </r>
  <r>
    <s v="No"/>
    <s v="Travel_Rarely"/>
    <x v="0"/>
    <s v="Current Employees"/>
    <x v="1"/>
    <x v="0"/>
    <s v="STAFF-2052"/>
    <n v="2052"/>
    <x v="0"/>
    <x v="1"/>
    <x v="1"/>
    <s v="No"/>
    <s v="Y"/>
    <n v="5"/>
    <n v="-2"/>
    <n v="0"/>
    <n v="35"/>
    <n v="0"/>
    <m/>
    <n v="0"/>
    <n v="1"/>
    <n v="287"/>
    <n v="1"/>
    <x v="2"/>
    <n v="1"/>
    <n v="3"/>
    <n v="62"/>
    <n v="1"/>
    <n v="1"/>
    <n v="4"/>
    <n v="2977"/>
    <n v="8952"/>
    <n v="1"/>
    <n v="12"/>
    <n v="3"/>
    <n v="4"/>
    <n v="80"/>
    <n v="1"/>
    <n v="4"/>
    <n v="3"/>
    <n v="4"/>
    <n v="3"/>
    <n v="1"/>
    <n v="1"/>
  </r>
  <r>
    <s v="No"/>
    <s v="Travel_Rarely"/>
    <x v="0"/>
    <s v="Current Employees"/>
    <x v="1"/>
    <x v="0"/>
    <s v="STAFF-1802"/>
    <n v="1802"/>
    <x v="0"/>
    <x v="2"/>
    <x v="1"/>
    <s v="No"/>
    <s v="Y"/>
    <n v="5"/>
    <n v="-2"/>
    <n v="0"/>
    <n v="40"/>
    <n v="0"/>
    <m/>
    <n v="0"/>
    <n v="1"/>
    <n v="616"/>
    <n v="2"/>
    <x v="0"/>
    <n v="1"/>
    <n v="3"/>
    <n v="99"/>
    <n v="3"/>
    <n v="1"/>
    <n v="3"/>
    <n v="3377"/>
    <n v="25605"/>
    <n v="4"/>
    <n v="17"/>
    <n v="3"/>
    <n v="4"/>
    <n v="80"/>
    <n v="1"/>
    <n v="7"/>
    <n v="2"/>
    <n v="4"/>
    <n v="3"/>
    <n v="0"/>
    <n v="2"/>
  </r>
  <r>
    <s v="No"/>
    <s v="Travel_Rarely"/>
    <x v="1"/>
    <s v="Current Employees"/>
    <x v="1"/>
    <x v="0"/>
    <s v="STAFF-1617"/>
    <n v="1617"/>
    <x v="0"/>
    <x v="2"/>
    <x v="1"/>
    <s v="No"/>
    <s v="Y"/>
    <n v="3"/>
    <n v="-2"/>
    <n v="0"/>
    <n v="49"/>
    <n v="0"/>
    <m/>
    <n v="0"/>
    <n v="1"/>
    <n v="722"/>
    <n v="25"/>
    <x v="2"/>
    <n v="1"/>
    <n v="3"/>
    <n v="84"/>
    <n v="3"/>
    <n v="1"/>
    <n v="3"/>
    <n v="3211"/>
    <n v="22102"/>
    <n v="1"/>
    <n v="14"/>
    <n v="3"/>
    <n v="4"/>
    <n v="80"/>
    <n v="1"/>
    <n v="10"/>
    <n v="2"/>
    <n v="9"/>
    <n v="6"/>
    <n v="1"/>
    <n v="4"/>
  </r>
  <r>
    <s v="No"/>
    <s v="Travel_Rarely"/>
    <x v="1"/>
    <s v="Current Employees"/>
    <x v="1"/>
    <x v="1"/>
    <s v="STAFF-1576"/>
    <n v="1576"/>
    <x v="0"/>
    <x v="1"/>
    <x v="1"/>
    <s v="No"/>
    <s v="Y"/>
    <n v="3"/>
    <n v="-2"/>
    <n v="0"/>
    <n v="48"/>
    <n v="0"/>
    <m/>
    <n v="0"/>
    <n v="1"/>
    <n v="1108"/>
    <n v="15"/>
    <x v="2"/>
    <n v="1"/>
    <n v="3"/>
    <n v="65"/>
    <n v="3"/>
    <n v="1"/>
    <n v="3"/>
    <n v="2367"/>
    <n v="16530"/>
    <n v="8"/>
    <n v="12"/>
    <n v="3"/>
    <n v="4"/>
    <n v="80"/>
    <n v="1"/>
    <n v="10"/>
    <n v="2"/>
    <n v="8"/>
    <n v="2"/>
    <n v="7"/>
    <n v="6"/>
  </r>
  <r>
    <s v="No"/>
    <s v="Travel_Rarely"/>
    <x v="2"/>
    <s v="Current Employees"/>
    <x v="1"/>
    <x v="0"/>
    <s v="STAFF-1447"/>
    <n v="1447"/>
    <x v="0"/>
    <x v="2"/>
    <x v="1"/>
    <s v="No"/>
    <s v="Y"/>
    <n v="2"/>
    <n v="-2"/>
    <n v="0"/>
    <n v="34"/>
    <n v="0"/>
    <m/>
    <n v="0"/>
    <n v="1"/>
    <n v="401"/>
    <n v="1"/>
    <x v="3"/>
    <n v="1"/>
    <n v="4"/>
    <n v="86"/>
    <n v="2"/>
    <n v="1"/>
    <n v="2"/>
    <n v="3294"/>
    <n v="3708"/>
    <n v="5"/>
    <n v="17"/>
    <n v="3"/>
    <n v="1"/>
    <n v="80"/>
    <n v="1"/>
    <n v="7"/>
    <n v="2"/>
    <n v="5"/>
    <n v="4"/>
    <n v="0"/>
    <n v="2"/>
  </r>
  <r>
    <s v="No"/>
    <s v="Travel_Rarely"/>
    <x v="2"/>
    <s v="Current Employees"/>
    <x v="1"/>
    <x v="0"/>
    <s v="STAFF-1555"/>
    <n v="1555"/>
    <x v="0"/>
    <x v="1"/>
    <x v="1"/>
    <s v="No"/>
    <s v="Y"/>
    <n v="2"/>
    <n v="-2"/>
    <n v="0"/>
    <n v="32"/>
    <n v="0"/>
    <m/>
    <n v="0"/>
    <n v="1"/>
    <n v="824"/>
    <n v="5"/>
    <x v="0"/>
    <n v="1"/>
    <n v="4"/>
    <n v="67"/>
    <n v="2"/>
    <n v="2"/>
    <n v="2"/>
    <n v="5878"/>
    <n v="15624"/>
    <n v="3"/>
    <n v="12"/>
    <n v="3"/>
    <n v="1"/>
    <n v="80"/>
    <n v="1"/>
    <n v="12"/>
    <n v="3"/>
    <n v="7"/>
    <n v="1"/>
    <n v="2"/>
    <n v="5"/>
  </r>
  <r>
    <s v="No"/>
    <s v="Travel_Rarely"/>
    <x v="0"/>
    <s v="Current Employees"/>
    <x v="1"/>
    <x v="1"/>
    <s v="STAFF-1782"/>
    <n v="1782"/>
    <x v="0"/>
    <x v="2"/>
    <x v="1"/>
    <s v="No"/>
    <s v="Y"/>
    <n v="3"/>
    <n v="-2"/>
    <n v="0"/>
    <n v="38"/>
    <n v="0"/>
    <m/>
    <n v="0"/>
    <n v="1"/>
    <n v="1153"/>
    <n v="6"/>
    <x v="0"/>
    <n v="1"/>
    <n v="4"/>
    <n v="40"/>
    <n v="2"/>
    <n v="1"/>
    <n v="3"/>
    <n v="3702"/>
    <n v="16376"/>
    <n v="1"/>
    <n v="11"/>
    <n v="3"/>
    <n v="2"/>
    <n v="80"/>
    <n v="1"/>
    <n v="5"/>
    <n v="3"/>
    <n v="5"/>
    <n v="4"/>
    <n v="0"/>
    <n v="4"/>
  </r>
  <r>
    <s v="No"/>
    <s v="Travel_Rarely"/>
    <x v="0"/>
    <s v="Current Employees"/>
    <x v="1"/>
    <x v="2"/>
    <s v="STAFF-1687"/>
    <n v="1687"/>
    <x v="0"/>
    <x v="2"/>
    <x v="1"/>
    <s v="No"/>
    <s v="Y"/>
    <n v="5"/>
    <n v="-2"/>
    <n v="0"/>
    <n v="38"/>
    <n v="0"/>
    <m/>
    <n v="0"/>
    <n v="1"/>
    <n v="1495"/>
    <n v="4"/>
    <x v="0"/>
    <n v="1"/>
    <n v="4"/>
    <n v="87"/>
    <n v="3"/>
    <n v="1"/>
    <n v="3"/>
    <n v="3306"/>
    <n v="26176"/>
    <n v="7"/>
    <n v="19"/>
    <n v="3"/>
    <n v="4"/>
    <n v="80"/>
    <n v="1"/>
    <n v="7"/>
    <n v="2"/>
    <n v="0"/>
    <n v="0"/>
    <n v="0"/>
    <n v="0"/>
  </r>
  <r>
    <s v="No"/>
    <s v="Travel_Rarely"/>
    <x v="2"/>
    <s v="Current Employees"/>
    <x v="1"/>
    <x v="2"/>
    <s v="STAFF-1709"/>
    <n v="1709"/>
    <x v="0"/>
    <x v="2"/>
    <x v="1"/>
    <s v="No"/>
    <s v="Y"/>
    <n v="2"/>
    <n v="-2"/>
    <n v="0"/>
    <n v="29"/>
    <n v="0"/>
    <m/>
    <n v="0"/>
    <n v="1"/>
    <n v="1082"/>
    <n v="9"/>
    <x v="2"/>
    <n v="1"/>
    <n v="4"/>
    <n v="43"/>
    <n v="3"/>
    <n v="1"/>
    <n v="3"/>
    <n v="2974"/>
    <n v="25412"/>
    <n v="9"/>
    <n v="17"/>
    <n v="3"/>
    <n v="3"/>
    <n v="80"/>
    <n v="1"/>
    <n v="9"/>
    <n v="3"/>
    <n v="5"/>
    <n v="3"/>
    <n v="1"/>
    <n v="2"/>
  </r>
  <r>
    <s v="No"/>
    <s v="Travel_Rarely"/>
    <x v="1"/>
    <s v="Current Employees"/>
    <x v="1"/>
    <x v="2"/>
    <s v="STAFF-1830"/>
    <n v="1830"/>
    <x v="0"/>
    <x v="1"/>
    <x v="1"/>
    <s v="No"/>
    <s v="Y"/>
    <n v="2"/>
    <n v="-2"/>
    <n v="0"/>
    <n v="54"/>
    <n v="0"/>
    <m/>
    <n v="0"/>
    <n v="1"/>
    <n v="431"/>
    <n v="7"/>
    <x v="2"/>
    <n v="1"/>
    <n v="4"/>
    <n v="68"/>
    <n v="3"/>
    <n v="2"/>
    <n v="4"/>
    <n v="6854"/>
    <n v="15696"/>
    <n v="4"/>
    <n v="15"/>
    <n v="3"/>
    <n v="2"/>
    <n v="80"/>
    <n v="1"/>
    <n v="14"/>
    <n v="2"/>
    <n v="7"/>
    <n v="1"/>
    <n v="1"/>
    <n v="7"/>
  </r>
  <r>
    <s v="No"/>
    <s v="Travel_Rarely"/>
    <x v="0"/>
    <s v="Current Employees"/>
    <x v="1"/>
    <x v="0"/>
    <s v="STAFF-1628"/>
    <n v="1628"/>
    <x v="0"/>
    <x v="3"/>
    <x v="1"/>
    <s v="No"/>
    <s v="Y"/>
    <n v="2"/>
    <n v="-2"/>
    <n v="0"/>
    <n v="40"/>
    <n v="0"/>
    <m/>
    <n v="0"/>
    <n v="1"/>
    <n v="884"/>
    <n v="15"/>
    <x v="3"/>
    <n v="1"/>
    <n v="1"/>
    <n v="80"/>
    <n v="2"/>
    <n v="3"/>
    <n v="3"/>
    <n v="10435"/>
    <n v="25800"/>
    <n v="1"/>
    <n v="13"/>
    <n v="3"/>
    <n v="4"/>
    <n v="80"/>
    <n v="2"/>
    <n v="18"/>
    <n v="3"/>
    <n v="18"/>
    <n v="15"/>
    <n v="14"/>
    <n v="12"/>
  </r>
  <r>
    <s v="No"/>
    <s v="Travel_Rarely"/>
    <x v="1"/>
    <s v="Current Employees"/>
    <x v="1"/>
    <x v="1"/>
    <s v="STAFF-1655"/>
    <n v="1655"/>
    <x v="0"/>
    <x v="7"/>
    <x v="1"/>
    <s v="No"/>
    <s v="Y"/>
    <n v="2"/>
    <n v="-2"/>
    <n v="0"/>
    <n v="49"/>
    <n v="0"/>
    <m/>
    <n v="0"/>
    <n v="1"/>
    <n v="301"/>
    <n v="22"/>
    <x v="2"/>
    <n v="1"/>
    <n v="1"/>
    <n v="72"/>
    <n v="3"/>
    <n v="4"/>
    <n v="2"/>
    <n v="16413"/>
    <n v="3498"/>
    <n v="3"/>
    <n v="16"/>
    <n v="3"/>
    <n v="2"/>
    <n v="80"/>
    <n v="2"/>
    <n v="27"/>
    <n v="3"/>
    <n v="4"/>
    <n v="2"/>
    <n v="1"/>
    <n v="2"/>
  </r>
  <r>
    <s v="No"/>
    <s v="Travel_Rarely"/>
    <x v="1"/>
    <s v="Current Employees"/>
    <x v="1"/>
    <x v="0"/>
    <s v="STAFF-1969"/>
    <n v="1969"/>
    <x v="0"/>
    <x v="1"/>
    <x v="1"/>
    <s v="No"/>
    <s v="Y"/>
    <n v="6"/>
    <n v="-2"/>
    <n v="0"/>
    <n v="54"/>
    <n v="0"/>
    <m/>
    <n v="0"/>
    <n v="1"/>
    <n v="155"/>
    <n v="9"/>
    <x v="0"/>
    <n v="1"/>
    <n v="1"/>
    <n v="67"/>
    <n v="3"/>
    <n v="2"/>
    <n v="3"/>
    <n v="2897"/>
    <n v="22474"/>
    <n v="3"/>
    <n v="11"/>
    <n v="3"/>
    <n v="3"/>
    <n v="80"/>
    <n v="2"/>
    <n v="9"/>
    <n v="2"/>
    <n v="4"/>
    <n v="3"/>
    <n v="2"/>
    <n v="3"/>
  </r>
  <r>
    <s v="No"/>
    <s v="Travel_Rarely"/>
    <x v="1"/>
    <s v="Current Employees"/>
    <x v="1"/>
    <x v="2"/>
    <s v="STAFF-1443"/>
    <n v="1443"/>
    <x v="0"/>
    <x v="7"/>
    <x v="1"/>
    <s v="No"/>
    <s v="Y"/>
    <n v="2"/>
    <n v="-2"/>
    <n v="0"/>
    <n v="47"/>
    <n v="0"/>
    <m/>
    <n v="0"/>
    <n v="1"/>
    <n v="359"/>
    <n v="2"/>
    <x v="2"/>
    <n v="1"/>
    <n v="1"/>
    <n v="82"/>
    <n v="3"/>
    <n v="4"/>
    <n v="3"/>
    <n v="17169"/>
    <n v="26703"/>
    <n v="3"/>
    <n v="19"/>
    <n v="3"/>
    <n v="2"/>
    <n v="80"/>
    <n v="2"/>
    <n v="26"/>
    <n v="4"/>
    <n v="20"/>
    <n v="17"/>
    <n v="5"/>
    <n v="6"/>
  </r>
  <r>
    <s v="No"/>
    <s v="Travel_Rarely"/>
    <x v="1"/>
    <s v="Current Employees"/>
    <x v="1"/>
    <x v="0"/>
    <s v="STAFF-1888"/>
    <n v="1888"/>
    <x v="0"/>
    <x v="3"/>
    <x v="1"/>
    <s v="No"/>
    <s v="Y"/>
    <n v="2"/>
    <n v="-2"/>
    <n v="0"/>
    <n v="45"/>
    <n v="0"/>
    <m/>
    <n v="0"/>
    <n v="1"/>
    <n v="556"/>
    <n v="25"/>
    <x v="0"/>
    <n v="1"/>
    <n v="2"/>
    <n v="93"/>
    <n v="2"/>
    <n v="2"/>
    <n v="4"/>
    <n v="5906"/>
    <n v="23888"/>
    <n v="0"/>
    <n v="13"/>
    <n v="3"/>
    <n v="4"/>
    <n v="80"/>
    <n v="2"/>
    <n v="10"/>
    <n v="2"/>
    <n v="9"/>
    <n v="8"/>
    <n v="3"/>
    <n v="8"/>
  </r>
  <r>
    <s v="No"/>
    <s v="Travel_Rarely"/>
    <x v="0"/>
    <s v="Current Employees"/>
    <x v="1"/>
    <x v="0"/>
    <s v="STAFF-1651"/>
    <n v="1651"/>
    <x v="0"/>
    <x v="4"/>
    <x v="1"/>
    <s v="No"/>
    <s v="Y"/>
    <n v="6"/>
    <n v="-2"/>
    <n v="0"/>
    <n v="36"/>
    <n v="0"/>
    <m/>
    <n v="0"/>
    <n v="1"/>
    <n v="711"/>
    <n v="5"/>
    <x v="2"/>
    <n v="1"/>
    <n v="2"/>
    <n v="42"/>
    <n v="3"/>
    <n v="3"/>
    <n v="3"/>
    <n v="8008"/>
    <n v="22792"/>
    <n v="4"/>
    <n v="12"/>
    <n v="3"/>
    <n v="3"/>
    <n v="80"/>
    <n v="2"/>
    <n v="9"/>
    <n v="3"/>
    <n v="3"/>
    <n v="2"/>
    <n v="0"/>
    <n v="2"/>
  </r>
  <r>
    <s v="No"/>
    <s v="Travel_Rarely"/>
    <x v="2"/>
    <s v="Current Employees"/>
    <x v="1"/>
    <x v="1"/>
    <s v="STAFF-1607"/>
    <n v="1607"/>
    <x v="0"/>
    <x v="1"/>
    <x v="1"/>
    <s v="No"/>
    <s v="Y"/>
    <n v="3"/>
    <n v="-2"/>
    <n v="0"/>
    <n v="32"/>
    <n v="0"/>
    <m/>
    <n v="0"/>
    <n v="1"/>
    <n v="634"/>
    <n v="5"/>
    <x v="2"/>
    <n v="1"/>
    <n v="2"/>
    <n v="35"/>
    <n v="4"/>
    <n v="1"/>
    <n v="4"/>
    <n v="3312"/>
    <n v="18783"/>
    <n v="3"/>
    <n v="17"/>
    <n v="3"/>
    <n v="4"/>
    <n v="80"/>
    <n v="2"/>
    <n v="6"/>
    <n v="3"/>
    <n v="3"/>
    <n v="2"/>
    <n v="0"/>
    <n v="2"/>
  </r>
  <r>
    <s v="No"/>
    <s v="Travel_Rarely"/>
    <x v="0"/>
    <s v="Current Employees"/>
    <x v="1"/>
    <x v="2"/>
    <s v="STAFF-2051"/>
    <n v="2051"/>
    <x v="0"/>
    <x v="1"/>
    <x v="1"/>
    <s v="No"/>
    <s v="Y"/>
    <n v="2"/>
    <n v="-2"/>
    <n v="0"/>
    <n v="40"/>
    <n v="0"/>
    <m/>
    <n v="0"/>
    <n v="1"/>
    <n v="1194"/>
    <n v="2"/>
    <x v="2"/>
    <n v="1"/>
    <n v="3"/>
    <n v="98"/>
    <n v="3"/>
    <n v="1"/>
    <n v="3"/>
    <n v="2001"/>
    <n v="12549"/>
    <n v="2"/>
    <n v="14"/>
    <n v="3"/>
    <n v="2"/>
    <n v="80"/>
    <n v="3"/>
    <n v="20"/>
    <n v="3"/>
    <n v="5"/>
    <n v="3"/>
    <n v="0"/>
    <n v="2"/>
  </r>
  <r>
    <s v="No"/>
    <s v="Travel_Rarely"/>
    <x v="2"/>
    <s v="Current Employees"/>
    <x v="1"/>
    <x v="0"/>
    <s v="STAFF-1430"/>
    <n v="1430"/>
    <x v="0"/>
    <x v="7"/>
    <x v="0"/>
    <s v="No"/>
    <s v="Y"/>
    <n v="3"/>
    <n v="-2"/>
    <n v="0"/>
    <n v="31"/>
    <n v="0"/>
    <m/>
    <n v="0"/>
    <n v="1"/>
    <n v="182"/>
    <n v="8"/>
    <x v="4"/>
    <n v="1"/>
    <n v="1"/>
    <n v="93"/>
    <n v="3"/>
    <n v="4"/>
    <n v="2"/>
    <n v="16422"/>
    <n v="8847"/>
    <n v="3"/>
    <n v="11"/>
    <n v="3"/>
    <n v="3"/>
    <n v="80"/>
    <n v="0"/>
    <n v="9"/>
    <n v="4"/>
    <n v="3"/>
    <n v="2"/>
    <n v="1"/>
    <n v="0"/>
  </r>
  <r>
    <s v="No"/>
    <s v="Travel_Rarely"/>
    <x v="0"/>
    <s v="Current Employees"/>
    <x v="1"/>
    <x v="2"/>
    <s v="STAFF-1411"/>
    <n v="1411"/>
    <x v="0"/>
    <x v="2"/>
    <x v="0"/>
    <s v="No"/>
    <s v="Y"/>
    <n v="6"/>
    <n v="-2"/>
    <n v="0"/>
    <n v="37"/>
    <n v="0"/>
    <m/>
    <n v="0"/>
    <n v="1"/>
    <n v="1462"/>
    <n v="11"/>
    <x v="3"/>
    <n v="1"/>
    <n v="1"/>
    <n v="94"/>
    <n v="3"/>
    <n v="1"/>
    <n v="3"/>
    <n v="3629"/>
    <n v="19106"/>
    <n v="4"/>
    <n v="18"/>
    <n v="3"/>
    <n v="1"/>
    <n v="80"/>
    <n v="0"/>
    <n v="8"/>
    <n v="3"/>
    <n v="3"/>
    <n v="2"/>
    <n v="0"/>
    <n v="2"/>
  </r>
  <r>
    <s v="No"/>
    <s v="Travel_Rarely"/>
    <x v="2"/>
    <s v="Current Employees"/>
    <x v="1"/>
    <x v="2"/>
    <s v="STAFF-1816"/>
    <n v="1816"/>
    <x v="0"/>
    <x v="3"/>
    <x v="0"/>
    <s v="No"/>
    <s v="Y"/>
    <n v="3"/>
    <n v="-2"/>
    <n v="0"/>
    <n v="30"/>
    <n v="0"/>
    <m/>
    <n v="0"/>
    <n v="1"/>
    <n v="1092"/>
    <n v="10"/>
    <x v="3"/>
    <n v="1"/>
    <n v="1"/>
    <n v="64"/>
    <n v="3"/>
    <n v="3"/>
    <n v="3"/>
    <n v="9667"/>
    <n v="2739"/>
    <n v="9"/>
    <n v="14"/>
    <n v="3"/>
    <n v="2"/>
    <n v="80"/>
    <n v="0"/>
    <n v="9"/>
    <n v="3"/>
    <n v="7"/>
    <n v="7"/>
    <n v="0"/>
    <n v="2"/>
  </r>
  <r>
    <s v="No"/>
    <s v="Travel_Rarely"/>
    <x v="0"/>
    <s v="Current Employees"/>
    <x v="1"/>
    <x v="0"/>
    <s v="STAFF-1525"/>
    <n v="1525"/>
    <x v="0"/>
    <x v="3"/>
    <x v="0"/>
    <s v="No"/>
    <s v="Y"/>
    <n v="3"/>
    <n v="-2"/>
    <n v="0"/>
    <n v="39"/>
    <n v="0"/>
    <m/>
    <n v="0"/>
    <n v="1"/>
    <n v="1089"/>
    <n v="6"/>
    <x v="3"/>
    <n v="1"/>
    <n v="2"/>
    <n v="32"/>
    <n v="3"/>
    <n v="3"/>
    <n v="2"/>
    <n v="8376"/>
    <n v="9150"/>
    <n v="4"/>
    <n v="18"/>
    <n v="3"/>
    <n v="4"/>
    <n v="80"/>
    <n v="0"/>
    <n v="9"/>
    <n v="3"/>
    <n v="2"/>
    <n v="0"/>
    <n v="2"/>
    <n v="2"/>
  </r>
  <r>
    <s v="No"/>
    <s v="Travel_Rarely"/>
    <x v="1"/>
    <s v="Current Employees"/>
    <x v="1"/>
    <x v="0"/>
    <s v="STAFF-1856"/>
    <n v="1856"/>
    <x v="0"/>
    <x v="2"/>
    <x v="0"/>
    <s v="No"/>
    <s v="Y"/>
    <n v="2"/>
    <n v="-2"/>
    <n v="0"/>
    <n v="47"/>
    <n v="0"/>
    <m/>
    <n v="0"/>
    <n v="1"/>
    <n v="207"/>
    <n v="9"/>
    <x v="2"/>
    <n v="1"/>
    <n v="2"/>
    <n v="64"/>
    <n v="3"/>
    <n v="1"/>
    <n v="3"/>
    <n v="2105"/>
    <n v="5411"/>
    <n v="4"/>
    <n v="12"/>
    <n v="3"/>
    <n v="3"/>
    <n v="80"/>
    <n v="0"/>
    <n v="7"/>
    <n v="3"/>
    <n v="2"/>
    <n v="2"/>
    <n v="2"/>
    <n v="0"/>
  </r>
  <r>
    <s v="No"/>
    <s v="Travel_Rarely"/>
    <x v="2"/>
    <s v="Current Employees"/>
    <x v="1"/>
    <x v="0"/>
    <s v="STAFF-2010"/>
    <n v="2010"/>
    <x v="0"/>
    <x v="2"/>
    <x v="0"/>
    <s v="No"/>
    <s v="Y"/>
    <n v="3"/>
    <n v="-2"/>
    <n v="0"/>
    <n v="32"/>
    <n v="0"/>
    <m/>
    <n v="0"/>
    <n v="1"/>
    <n v="267"/>
    <n v="29"/>
    <x v="2"/>
    <n v="1"/>
    <n v="3"/>
    <n v="49"/>
    <n v="2"/>
    <n v="1"/>
    <n v="2"/>
    <n v="2837"/>
    <n v="15919"/>
    <n v="1"/>
    <n v="13"/>
    <n v="3"/>
    <n v="3"/>
    <n v="80"/>
    <n v="0"/>
    <n v="6"/>
    <n v="3"/>
    <n v="6"/>
    <n v="2"/>
    <n v="4"/>
    <n v="1"/>
  </r>
  <r>
    <s v="No"/>
    <s v="Travel_Rarely"/>
    <x v="4"/>
    <s v="Current Employees"/>
    <x v="1"/>
    <x v="2"/>
    <s v="STAFF-1735"/>
    <n v="1735"/>
    <x v="0"/>
    <x v="2"/>
    <x v="0"/>
    <s v="No"/>
    <s v="Y"/>
    <n v="3"/>
    <n v="-2"/>
    <n v="0"/>
    <n v="23"/>
    <n v="0"/>
    <m/>
    <n v="0"/>
    <n v="1"/>
    <n v="160"/>
    <n v="4"/>
    <x v="1"/>
    <n v="1"/>
    <n v="3"/>
    <n v="51"/>
    <n v="3"/>
    <n v="1"/>
    <n v="2"/>
    <n v="3295"/>
    <n v="12862"/>
    <n v="1"/>
    <n v="13"/>
    <n v="3"/>
    <n v="3"/>
    <n v="80"/>
    <n v="0"/>
    <n v="3"/>
    <n v="1"/>
    <n v="3"/>
    <n v="2"/>
    <n v="1"/>
    <n v="2"/>
  </r>
  <r>
    <s v="No"/>
    <s v="Travel_Rarely"/>
    <x v="2"/>
    <s v="Current Employees"/>
    <x v="1"/>
    <x v="2"/>
    <s v="STAFF-1751"/>
    <n v="1751"/>
    <x v="0"/>
    <x v="1"/>
    <x v="0"/>
    <s v="No"/>
    <s v="Y"/>
    <n v="5"/>
    <n v="-2"/>
    <n v="0"/>
    <n v="27"/>
    <n v="0"/>
    <m/>
    <n v="0"/>
    <n v="1"/>
    <n v="1054"/>
    <n v="8"/>
    <x v="3"/>
    <n v="1"/>
    <n v="3"/>
    <n v="67"/>
    <n v="3"/>
    <n v="1"/>
    <n v="4"/>
    <n v="3445"/>
    <n v="6152"/>
    <n v="1"/>
    <n v="11"/>
    <n v="3"/>
    <n v="3"/>
    <n v="80"/>
    <n v="0"/>
    <n v="6"/>
    <n v="2"/>
    <n v="6"/>
    <n v="2"/>
    <n v="1"/>
    <n v="4"/>
  </r>
  <r>
    <s v="No"/>
    <s v="Travel_Rarely"/>
    <x v="2"/>
    <s v="Current Employees"/>
    <x v="1"/>
    <x v="2"/>
    <s v="STAFF-2054"/>
    <n v="2054"/>
    <x v="0"/>
    <x v="1"/>
    <x v="0"/>
    <s v="No"/>
    <s v="Y"/>
    <n v="3"/>
    <n v="-2"/>
    <n v="0"/>
    <n v="29"/>
    <n v="0"/>
    <m/>
    <n v="0"/>
    <n v="1"/>
    <n v="468"/>
    <n v="28"/>
    <x v="2"/>
    <n v="1"/>
    <n v="4"/>
    <n v="73"/>
    <n v="2"/>
    <n v="1"/>
    <n v="3"/>
    <n v="3785"/>
    <n v="8489"/>
    <n v="1"/>
    <n v="14"/>
    <n v="3"/>
    <n v="2"/>
    <n v="80"/>
    <n v="0"/>
    <n v="5"/>
    <n v="1"/>
    <n v="5"/>
    <n v="4"/>
    <n v="0"/>
    <n v="4"/>
  </r>
  <r>
    <s v="No"/>
    <s v="Travel_Rarely"/>
    <x v="0"/>
    <s v="Current Employees"/>
    <x v="1"/>
    <x v="0"/>
    <s v="STAFF-1529"/>
    <n v="1529"/>
    <x v="0"/>
    <x v="4"/>
    <x v="0"/>
    <s v="No"/>
    <s v="Y"/>
    <n v="3"/>
    <n v="-2"/>
    <n v="0"/>
    <n v="35"/>
    <n v="0"/>
    <m/>
    <n v="0"/>
    <n v="1"/>
    <n v="1029"/>
    <n v="16"/>
    <x v="3"/>
    <n v="1"/>
    <n v="4"/>
    <n v="91"/>
    <n v="2"/>
    <n v="3"/>
    <n v="2"/>
    <n v="8606"/>
    <n v="21195"/>
    <n v="1"/>
    <n v="19"/>
    <n v="3"/>
    <n v="4"/>
    <n v="80"/>
    <n v="0"/>
    <n v="11"/>
    <n v="1"/>
    <n v="11"/>
    <n v="8"/>
    <n v="3"/>
    <n v="3"/>
  </r>
  <r>
    <s v="No"/>
    <s v="Travel_Rarely"/>
    <x v="1"/>
    <s v="Current Employees"/>
    <x v="1"/>
    <x v="4"/>
    <s v="STAFF-1719"/>
    <n v="1719"/>
    <x v="0"/>
    <x v="7"/>
    <x v="0"/>
    <s v="No"/>
    <s v="Y"/>
    <n v="2"/>
    <n v="-2"/>
    <n v="0"/>
    <n v="45"/>
    <n v="0"/>
    <m/>
    <n v="0"/>
    <n v="1"/>
    <n v="1005"/>
    <n v="28"/>
    <x v="0"/>
    <n v="1"/>
    <n v="4"/>
    <n v="48"/>
    <n v="2"/>
    <n v="4"/>
    <n v="4"/>
    <n v="16704"/>
    <n v="17119"/>
    <n v="1"/>
    <n v="11"/>
    <n v="3"/>
    <n v="3"/>
    <n v="80"/>
    <n v="0"/>
    <n v="21"/>
    <n v="3"/>
    <n v="21"/>
    <n v="6"/>
    <n v="8"/>
    <n v="6"/>
  </r>
  <r>
    <s v="No"/>
    <s v="Travel_Rarely"/>
    <x v="1"/>
    <s v="Current Employees"/>
    <x v="1"/>
    <x v="2"/>
    <s v="STAFF-1422"/>
    <n v="1422"/>
    <x v="0"/>
    <x v="7"/>
    <x v="0"/>
    <s v="No"/>
    <s v="Y"/>
    <n v="3"/>
    <n v="-2"/>
    <n v="0"/>
    <n v="54"/>
    <n v="0"/>
    <m/>
    <n v="0"/>
    <n v="1"/>
    <n v="971"/>
    <n v="1"/>
    <x v="3"/>
    <n v="1"/>
    <n v="4"/>
    <n v="54"/>
    <n v="3"/>
    <n v="4"/>
    <n v="4"/>
    <n v="17328"/>
    <n v="5652"/>
    <n v="6"/>
    <n v="19"/>
    <n v="3"/>
    <n v="4"/>
    <n v="80"/>
    <n v="0"/>
    <n v="29"/>
    <n v="2"/>
    <n v="20"/>
    <n v="7"/>
    <n v="12"/>
    <n v="7"/>
  </r>
  <r>
    <s v="No"/>
    <s v="Travel_Rarely"/>
    <x v="1"/>
    <s v="Current Employees"/>
    <x v="0"/>
    <x v="4"/>
    <s v="STAFF-1863"/>
    <n v="1863"/>
    <x v="0"/>
    <x v="0"/>
    <x v="2"/>
    <s v="No"/>
    <s v="Y"/>
    <n v="5"/>
    <n v="-2"/>
    <n v="0"/>
    <n v="46"/>
    <n v="0"/>
    <m/>
    <n v="0"/>
    <n v="1"/>
    <n v="1319"/>
    <n v="3"/>
    <x v="3"/>
    <n v="1"/>
    <n v="4"/>
    <n v="45"/>
    <n v="4"/>
    <n v="4"/>
    <n v="4"/>
    <n v="13225"/>
    <n v="7739"/>
    <n v="2"/>
    <n v="12"/>
    <n v="3"/>
    <n v="4"/>
    <n v="80"/>
    <n v="1"/>
    <n v="25"/>
    <n v="3"/>
    <n v="19"/>
    <n v="17"/>
    <n v="2"/>
    <n v="8"/>
  </r>
  <r>
    <s v="No"/>
    <s v="Travel_Rarely"/>
    <x v="1"/>
    <s v="Current Employees"/>
    <x v="0"/>
    <x v="0"/>
    <s v="STAFF-1557"/>
    <n v="1557"/>
    <x v="0"/>
    <x v="0"/>
    <x v="2"/>
    <s v="No"/>
    <s v="Y"/>
    <n v="2"/>
    <n v="-2"/>
    <n v="0"/>
    <n v="48"/>
    <n v="0"/>
    <m/>
    <n v="0"/>
    <n v="1"/>
    <n v="492"/>
    <n v="16"/>
    <x v="2"/>
    <n v="1"/>
    <n v="3"/>
    <n v="96"/>
    <n v="3"/>
    <n v="2"/>
    <n v="3"/>
    <n v="6439"/>
    <n v="13693"/>
    <n v="8"/>
    <n v="14"/>
    <n v="3"/>
    <n v="3"/>
    <n v="80"/>
    <n v="1"/>
    <n v="18"/>
    <n v="3"/>
    <n v="8"/>
    <n v="7"/>
    <n v="7"/>
    <n v="7"/>
  </r>
  <r>
    <s v="No"/>
    <s v="Travel_Rarely"/>
    <x v="2"/>
    <s v="Current Employees"/>
    <x v="0"/>
    <x v="3"/>
    <s v="STAFF-1428"/>
    <n v="1428"/>
    <x v="0"/>
    <x v="0"/>
    <x v="2"/>
    <s v="No"/>
    <s v="Y"/>
    <n v="3"/>
    <n v="-2"/>
    <n v="0"/>
    <n v="30"/>
    <n v="0"/>
    <m/>
    <n v="0"/>
    <n v="1"/>
    <n v="855"/>
    <n v="7"/>
    <x v="2"/>
    <n v="1"/>
    <n v="4"/>
    <n v="73"/>
    <n v="3"/>
    <n v="2"/>
    <n v="2"/>
    <n v="4779"/>
    <n v="12761"/>
    <n v="7"/>
    <n v="14"/>
    <n v="3"/>
    <n v="2"/>
    <n v="80"/>
    <n v="2"/>
    <n v="8"/>
    <n v="3"/>
    <n v="3"/>
    <n v="2"/>
    <n v="0"/>
    <n v="2"/>
  </r>
  <r>
    <s v="No"/>
    <s v="Travel_Rarely"/>
    <x v="1"/>
    <s v="Current Employees"/>
    <x v="0"/>
    <x v="0"/>
    <s v="STAFF-1676"/>
    <n v="1676"/>
    <x v="0"/>
    <x v="5"/>
    <x v="2"/>
    <s v="No"/>
    <s v="Y"/>
    <n v="2"/>
    <n v="-2"/>
    <n v="0"/>
    <n v="47"/>
    <n v="0"/>
    <m/>
    <n v="0"/>
    <n v="1"/>
    <n v="1225"/>
    <n v="2"/>
    <x v="2"/>
    <n v="1"/>
    <n v="2"/>
    <n v="47"/>
    <n v="4"/>
    <n v="4"/>
    <n v="2"/>
    <n v="15972"/>
    <n v="21086"/>
    <n v="6"/>
    <n v="14"/>
    <n v="3"/>
    <n v="3"/>
    <n v="80"/>
    <n v="3"/>
    <n v="29"/>
    <n v="3"/>
    <n v="3"/>
    <n v="2"/>
    <n v="1"/>
    <n v="2"/>
  </r>
  <r>
    <s v="No"/>
    <s v="Travel_Rarely"/>
    <x v="0"/>
    <s v="Current Employees"/>
    <x v="0"/>
    <x v="0"/>
    <s v="STAFF-2041"/>
    <n v="2041"/>
    <x v="0"/>
    <x v="0"/>
    <x v="1"/>
    <s v="No"/>
    <s v="Y"/>
    <n v="1"/>
    <n v="-2"/>
    <n v="0"/>
    <n v="38"/>
    <n v="0"/>
    <m/>
    <n v="0"/>
    <n v="1"/>
    <n v="345"/>
    <n v="10"/>
    <x v="0"/>
    <n v="1"/>
    <n v="1"/>
    <n v="100"/>
    <n v="3"/>
    <n v="2"/>
    <n v="4"/>
    <n v="5343"/>
    <n v="5982"/>
    <n v="1"/>
    <n v="11"/>
    <n v="3"/>
    <n v="3"/>
    <n v="80"/>
    <n v="1"/>
    <n v="10"/>
    <n v="3"/>
    <n v="10"/>
    <n v="7"/>
    <n v="1"/>
    <n v="9"/>
  </r>
  <r>
    <s v="No"/>
    <s v="Travel_Rarely"/>
    <x v="0"/>
    <s v="Current Employees"/>
    <x v="0"/>
    <x v="3"/>
    <s v="STAFF-2045"/>
    <n v="2045"/>
    <x v="0"/>
    <x v="0"/>
    <x v="1"/>
    <s v="No"/>
    <s v="Y"/>
    <n v="2"/>
    <n v="-2"/>
    <n v="0"/>
    <n v="36"/>
    <n v="0"/>
    <m/>
    <n v="0"/>
    <n v="1"/>
    <n v="1120"/>
    <n v="11"/>
    <x v="2"/>
    <n v="1"/>
    <n v="2"/>
    <n v="100"/>
    <n v="2"/>
    <n v="2"/>
    <n v="2"/>
    <n v="6652"/>
    <n v="14369"/>
    <n v="4"/>
    <n v="13"/>
    <n v="3"/>
    <n v="1"/>
    <n v="80"/>
    <n v="1"/>
    <n v="8"/>
    <n v="2"/>
    <n v="6"/>
    <n v="3"/>
    <n v="0"/>
    <n v="0"/>
  </r>
  <r>
    <s v="No"/>
    <s v="Travel_Rarely"/>
    <x v="0"/>
    <s v="Current Employees"/>
    <x v="0"/>
    <x v="3"/>
    <s v="STAFF-2056"/>
    <n v="2056"/>
    <x v="0"/>
    <x v="0"/>
    <x v="1"/>
    <s v="No"/>
    <s v="Y"/>
    <n v="2"/>
    <n v="-2"/>
    <n v="0"/>
    <n v="39"/>
    <n v="0"/>
    <m/>
    <n v="0"/>
    <n v="1"/>
    <n v="722"/>
    <n v="24"/>
    <x v="1"/>
    <n v="1"/>
    <n v="2"/>
    <n v="60"/>
    <n v="2"/>
    <n v="4"/>
    <n v="2"/>
    <n v="12031"/>
    <n v="8828"/>
    <n v="0"/>
    <n v="11"/>
    <n v="3"/>
    <n v="1"/>
    <n v="80"/>
    <n v="1"/>
    <n v="21"/>
    <n v="2"/>
    <n v="20"/>
    <n v="9"/>
    <n v="9"/>
    <n v="6"/>
  </r>
  <r>
    <s v="No"/>
    <s v="Travel_Rarely"/>
    <x v="0"/>
    <s v="Current Employees"/>
    <x v="0"/>
    <x v="3"/>
    <s v="STAFF-1986"/>
    <n v="1986"/>
    <x v="0"/>
    <x v="0"/>
    <x v="1"/>
    <s v="No"/>
    <s v="Y"/>
    <n v="4"/>
    <n v="-2"/>
    <n v="0"/>
    <n v="40"/>
    <n v="0"/>
    <m/>
    <n v="0"/>
    <n v="1"/>
    <n v="444"/>
    <n v="2"/>
    <x v="0"/>
    <n v="1"/>
    <n v="2"/>
    <n v="92"/>
    <n v="3"/>
    <n v="2"/>
    <n v="2"/>
    <n v="5677"/>
    <n v="4258"/>
    <n v="3"/>
    <n v="14"/>
    <n v="3"/>
    <n v="3"/>
    <n v="80"/>
    <n v="1"/>
    <n v="15"/>
    <n v="3"/>
    <n v="11"/>
    <n v="8"/>
    <n v="5"/>
    <n v="10"/>
  </r>
  <r>
    <s v="No"/>
    <s v="Travel_Rarely"/>
    <x v="2"/>
    <s v="Current Employees"/>
    <x v="0"/>
    <x v="2"/>
    <s v="STAFF-1875"/>
    <n v="1875"/>
    <x v="0"/>
    <x v="6"/>
    <x v="1"/>
    <s v="No"/>
    <s v="Y"/>
    <n v="3"/>
    <n v="-2"/>
    <n v="0"/>
    <n v="28"/>
    <n v="0"/>
    <m/>
    <n v="0"/>
    <n v="1"/>
    <n v="1172"/>
    <n v="3"/>
    <x v="3"/>
    <n v="1"/>
    <n v="2"/>
    <n v="78"/>
    <n v="3"/>
    <n v="1"/>
    <n v="2"/>
    <n v="2856"/>
    <n v="3692"/>
    <n v="1"/>
    <n v="19"/>
    <n v="3"/>
    <n v="4"/>
    <n v="80"/>
    <n v="1"/>
    <n v="1"/>
    <n v="3"/>
    <n v="1"/>
    <n v="0"/>
    <n v="0"/>
    <n v="0"/>
  </r>
  <r>
    <s v="No"/>
    <s v="Travel_Rarely"/>
    <x v="1"/>
    <s v="Current Employees"/>
    <x v="0"/>
    <x v="0"/>
    <s v="STAFF-1527"/>
    <n v="1527"/>
    <x v="0"/>
    <x v="5"/>
    <x v="1"/>
    <s v="No"/>
    <s v="Y"/>
    <n v="2"/>
    <n v="-2"/>
    <n v="0"/>
    <n v="46"/>
    <n v="0"/>
    <m/>
    <n v="0"/>
    <n v="1"/>
    <n v="228"/>
    <n v="3"/>
    <x v="3"/>
    <n v="1"/>
    <n v="3"/>
    <n v="51"/>
    <n v="3"/>
    <n v="4"/>
    <n v="2"/>
    <n v="16606"/>
    <n v="11380"/>
    <n v="8"/>
    <n v="12"/>
    <n v="3"/>
    <n v="4"/>
    <n v="80"/>
    <n v="1"/>
    <n v="23"/>
    <n v="4"/>
    <n v="13"/>
    <n v="12"/>
    <n v="5"/>
    <n v="1"/>
  </r>
  <r>
    <s v="No"/>
    <s v="Travel_Rarely"/>
    <x v="3"/>
    <s v="Current Employees"/>
    <x v="0"/>
    <x v="3"/>
    <s v="STAFF-1935"/>
    <n v="1935"/>
    <x v="0"/>
    <x v="0"/>
    <x v="1"/>
    <s v="No"/>
    <s v="Y"/>
    <n v="3"/>
    <n v="-2"/>
    <n v="0"/>
    <n v="56"/>
    <n v="0"/>
    <m/>
    <n v="0"/>
    <n v="1"/>
    <n v="1443"/>
    <n v="11"/>
    <x v="4"/>
    <n v="1"/>
    <n v="4"/>
    <n v="89"/>
    <n v="2"/>
    <n v="2"/>
    <n v="2"/>
    <n v="5380"/>
    <n v="20328"/>
    <n v="4"/>
    <n v="16"/>
    <n v="3"/>
    <n v="3"/>
    <n v="80"/>
    <n v="1"/>
    <n v="6"/>
    <n v="3"/>
    <n v="0"/>
    <n v="0"/>
    <n v="0"/>
    <n v="0"/>
  </r>
  <r>
    <s v="No"/>
    <s v="Travel_Rarely"/>
    <x v="0"/>
    <s v="Current Employees"/>
    <x v="0"/>
    <x v="0"/>
    <s v="STAFF-1598"/>
    <n v="1598"/>
    <x v="0"/>
    <x v="0"/>
    <x v="1"/>
    <s v="No"/>
    <s v="Y"/>
    <n v="2"/>
    <n v="-2"/>
    <n v="0"/>
    <n v="40"/>
    <n v="0"/>
    <m/>
    <n v="0"/>
    <n v="1"/>
    <n v="118"/>
    <n v="14"/>
    <x v="0"/>
    <n v="1"/>
    <n v="4"/>
    <n v="84"/>
    <n v="3"/>
    <n v="2"/>
    <n v="3"/>
    <n v="4639"/>
    <n v="11262"/>
    <n v="1"/>
    <n v="15"/>
    <n v="3"/>
    <n v="3"/>
    <n v="80"/>
    <n v="1"/>
    <n v="5"/>
    <n v="3"/>
    <n v="5"/>
    <n v="4"/>
    <n v="1"/>
    <n v="2"/>
  </r>
  <r>
    <s v="No"/>
    <s v="Travel_Rarely"/>
    <x v="2"/>
    <s v="Current Employees"/>
    <x v="0"/>
    <x v="3"/>
    <s v="STAFF-1784"/>
    <n v="1784"/>
    <x v="0"/>
    <x v="0"/>
    <x v="1"/>
    <s v="No"/>
    <s v="Y"/>
    <n v="3"/>
    <n v="-2"/>
    <n v="0"/>
    <n v="31"/>
    <n v="0"/>
    <m/>
    <n v="0"/>
    <n v="1"/>
    <n v="196"/>
    <n v="29"/>
    <x v="2"/>
    <n v="1"/>
    <n v="1"/>
    <n v="91"/>
    <n v="2"/>
    <n v="2"/>
    <n v="2"/>
    <n v="5468"/>
    <n v="13402"/>
    <n v="1"/>
    <n v="14"/>
    <n v="3"/>
    <n v="1"/>
    <n v="80"/>
    <n v="2"/>
    <n v="13"/>
    <n v="3"/>
    <n v="12"/>
    <n v="7"/>
    <n v="5"/>
    <n v="7"/>
  </r>
  <r>
    <s v="No"/>
    <s v="Travel_Rarely"/>
    <x v="0"/>
    <s v="Current Employees"/>
    <x v="0"/>
    <x v="2"/>
    <s v="STAFF-2024"/>
    <n v="2024"/>
    <x v="0"/>
    <x v="0"/>
    <x v="1"/>
    <s v="No"/>
    <s v="Y"/>
    <n v="2"/>
    <n v="-2"/>
    <n v="0"/>
    <n v="36"/>
    <n v="0"/>
    <m/>
    <n v="0"/>
    <n v="1"/>
    <n v="557"/>
    <n v="3"/>
    <x v="3"/>
    <n v="1"/>
    <n v="1"/>
    <n v="94"/>
    <n v="2"/>
    <n v="3"/>
    <n v="4"/>
    <n v="7644"/>
    <n v="12695"/>
    <n v="0"/>
    <n v="19"/>
    <n v="3"/>
    <n v="3"/>
    <n v="80"/>
    <n v="2"/>
    <n v="10"/>
    <n v="3"/>
    <n v="9"/>
    <n v="7"/>
    <n v="3"/>
    <n v="4"/>
  </r>
  <r>
    <s v="No"/>
    <s v="Travel_Rarely"/>
    <x v="2"/>
    <s v="Current Employees"/>
    <x v="0"/>
    <x v="0"/>
    <s v="STAFF-1673"/>
    <n v="1673"/>
    <x v="0"/>
    <x v="0"/>
    <x v="1"/>
    <s v="No"/>
    <s v="Y"/>
    <n v="2"/>
    <n v="-2"/>
    <n v="0"/>
    <n v="31"/>
    <n v="0"/>
    <m/>
    <n v="0"/>
    <n v="1"/>
    <n v="1112"/>
    <n v="5"/>
    <x v="2"/>
    <n v="1"/>
    <n v="1"/>
    <n v="67"/>
    <n v="3"/>
    <n v="2"/>
    <n v="4"/>
    <n v="5476"/>
    <n v="22589"/>
    <n v="1"/>
    <n v="11"/>
    <n v="3"/>
    <n v="1"/>
    <n v="80"/>
    <n v="2"/>
    <n v="10"/>
    <n v="3"/>
    <n v="10"/>
    <n v="0"/>
    <n v="0"/>
    <n v="2"/>
  </r>
  <r>
    <s v="No"/>
    <s v="Travel_Rarely"/>
    <x v="0"/>
    <s v="Current Employees"/>
    <x v="0"/>
    <x v="3"/>
    <s v="STAFF-1436"/>
    <n v="1436"/>
    <x v="0"/>
    <x v="0"/>
    <x v="1"/>
    <s v="No"/>
    <s v="Y"/>
    <n v="3"/>
    <n v="-2"/>
    <n v="0"/>
    <n v="36"/>
    <n v="0"/>
    <m/>
    <n v="0"/>
    <n v="1"/>
    <n v="329"/>
    <n v="16"/>
    <x v="2"/>
    <n v="1"/>
    <n v="3"/>
    <n v="98"/>
    <n v="2"/>
    <n v="2"/>
    <n v="2"/>
    <n v="5647"/>
    <n v="13494"/>
    <n v="4"/>
    <n v="13"/>
    <n v="3"/>
    <n v="1"/>
    <n v="80"/>
    <n v="2"/>
    <n v="11"/>
    <n v="2"/>
    <n v="3"/>
    <n v="2"/>
    <n v="0"/>
    <n v="2"/>
  </r>
  <r>
    <s v="No"/>
    <s v="Travel_Rarely"/>
    <x v="2"/>
    <s v="Current Employees"/>
    <x v="0"/>
    <x v="3"/>
    <s v="STAFF-2016"/>
    <n v="2016"/>
    <x v="0"/>
    <x v="0"/>
    <x v="1"/>
    <s v="No"/>
    <s v="Y"/>
    <n v="3"/>
    <n v="-2"/>
    <n v="0"/>
    <n v="32"/>
    <n v="0"/>
    <m/>
    <n v="0"/>
    <n v="1"/>
    <n v="801"/>
    <n v="1"/>
    <x v="2"/>
    <n v="1"/>
    <n v="3"/>
    <n v="48"/>
    <n v="3"/>
    <n v="3"/>
    <n v="2"/>
    <n v="10422"/>
    <n v="24032"/>
    <n v="1"/>
    <n v="19"/>
    <n v="3"/>
    <n v="3"/>
    <n v="80"/>
    <n v="2"/>
    <n v="14"/>
    <n v="3"/>
    <n v="14"/>
    <n v="10"/>
    <n v="5"/>
    <n v="7"/>
  </r>
  <r>
    <s v="No"/>
    <s v="Travel_Rarely"/>
    <x v="2"/>
    <s v="Current Employees"/>
    <x v="0"/>
    <x v="2"/>
    <s v="STAFF-1898"/>
    <n v="1898"/>
    <x v="0"/>
    <x v="0"/>
    <x v="0"/>
    <s v="No"/>
    <s v="Y"/>
    <n v="5"/>
    <n v="-2"/>
    <n v="0"/>
    <n v="27"/>
    <n v="0"/>
    <m/>
    <n v="0"/>
    <n v="1"/>
    <n v="511"/>
    <n v="2"/>
    <x v="0"/>
    <n v="1"/>
    <n v="1"/>
    <n v="89"/>
    <n v="4"/>
    <n v="2"/>
    <n v="3"/>
    <n v="6500"/>
    <n v="26997"/>
    <n v="0"/>
    <n v="14"/>
    <n v="3"/>
    <n v="2"/>
    <n v="80"/>
    <n v="0"/>
    <n v="9"/>
    <n v="2"/>
    <n v="8"/>
    <n v="7"/>
    <n v="0"/>
    <n v="7"/>
  </r>
  <r>
    <s v="No"/>
    <s v="Travel_Rarely"/>
    <x v="0"/>
    <s v="Current Employees"/>
    <x v="0"/>
    <x v="0"/>
    <s v="STAFF-1583"/>
    <n v="1583"/>
    <x v="0"/>
    <x v="0"/>
    <x v="0"/>
    <s v="No"/>
    <s v="Y"/>
    <n v="5"/>
    <n v="-2"/>
    <n v="0"/>
    <n v="38"/>
    <n v="0"/>
    <m/>
    <n v="0"/>
    <n v="1"/>
    <n v="437"/>
    <n v="16"/>
    <x v="3"/>
    <n v="1"/>
    <n v="2"/>
    <n v="90"/>
    <n v="3"/>
    <n v="2"/>
    <n v="2"/>
    <n v="4198"/>
    <n v="16379"/>
    <n v="2"/>
    <n v="12"/>
    <n v="3"/>
    <n v="2"/>
    <n v="80"/>
    <n v="0"/>
    <n v="8"/>
    <n v="4"/>
    <n v="3"/>
    <n v="2"/>
    <n v="1"/>
    <n v="2"/>
  </r>
  <r>
    <s v="No"/>
    <s v="Travel_Rarely"/>
    <x v="0"/>
    <s v="Current Employees"/>
    <x v="0"/>
    <x v="0"/>
    <s v="STAFF-1585"/>
    <n v="1585"/>
    <x v="0"/>
    <x v="0"/>
    <x v="0"/>
    <s v="No"/>
    <s v="Y"/>
    <n v="5"/>
    <n v="-2"/>
    <n v="0"/>
    <n v="36"/>
    <n v="0"/>
    <m/>
    <n v="0"/>
    <n v="1"/>
    <n v="884"/>
    <n v="1"/>
    <x v="2"/>
    <n v="1"/>
    <n v="2"/>
    <n v="73"/>
    <n v="3"/>
    <n v="2"/>
    <n v="3"/>
    <n v="6815"/>
    <n v="21447"/>
    <n v="6"/>
    <n v="13"/>
    <n v="3"/>
    <n v="1"/>
    <n v="80"/>
    <n v="0"/>
    <n v="15"/>
    <n v="3"/>
    <n v="1"/>
    <n v="0"/>
    <n v="0"/>
    <n v="0"/>
  </r>
  <r>
    <s v="No"/>
    <s v="Travel_Rarely"/>
    <x v="4"/>
    <s v="Current Employees"/>
    <x v="0"/>
    <x v="2"/>
    <s v="STAFF-1657"/>
    <n v="1657"/>
    <x v="0"/>
    <x v="6"/>
    <x v="0"/>
    <s v="No"/>
    <s v="Y"/>
    <n v="3"/>
    <n v="-2"/>
    <n v="0"/>
    <n v="20"/>
    <n v="0"/>
    <m/>
    <n v="0"/>
    <n v="1"/>
    <n v="1141"/>
    <n v="2"/>
    <x v="3"/>
    <n v="1"/>
    <n v="3"/>
    <n v="31"/>
    <n v="3"/>
    <n v="1"/>
    <n v="3"/>
    <n v="2783"/>
    <n v="13251"/>
    <n v="1"/>
    <n v="19"/>
    <n v="3"/>
    <n v="1"/>
    <n v="80"/>
    <n v="0"/>
    <n v="2"/>
    <n v="3"/>
    <n v="2"/>
    <n v="2"/>
    <n v="2"/>
    <n v="2"/>
  </r>
  <r>
    <s v="No"/>
    <s v="Travel_Rarely"/>
    <x v="0"/>
    <s v="Current Employees"/>
    <x v="0"/>
    <x v="0"/>
    <s v="STAFF-1710"/>
    <n v="1710"/>
    <x v="0"/>
    <x v="6"/>
    <x v="0"/>
    <s v="No"/>
    <s v="Y"/>
    <n v="2"/>
    <n v="-2"/>
    <n v="0"/>
    <n v="36"/>
    <n v="0"/>
    <m/>
    <n v="0"/>
    <n v="1"/>
    <n v="530"/>
    <n v="2"/>
    <x v="2"/>
    <n v="1"/>
    <n v="3"/>
    <n v="51"/>
    <n v="3"/>
    <n v="2"/>
    <n v="4"/>
    <n v="4502"/>
    <n v="7439"/>
    <n v="3"/>
    <n v="15"/>
    <n v="3"/>
    <n v="3"/>
    <n v="80"/>
    <n v="0"/>
    <n v="17"/>
    <n v="2"/>
    <n v="13"/>
    <n v="7"/>
    <n v="6"/>
    <n v="7"/>
  </r>
  <r>
    <s v="No"/>
    <s v="Travel_Rarely"/>
    <x v="2"/>
    <s v="Current Employees"/>
    <x v="0"/>
    <x v="0"/>
    <s v="STAFF-1779"/>
    <n v="1779"/>
    <x v="0"/>
    <x v="0"/>
    <x v="0"/>
    <s v="No"/>
    <s v="Y"/>
    <n v="3"/>
    <n v="-2"/>
    <n v="0"/>
    <n v="34"/>
    <n v="0"/>
    <m/>
    <n v="0"/>
    <n v="1"/>
    <n v="511"/>
    <n v="3"/>
    <x v="0"/>
    <n v="1"/>
    <n v="4"/>
    <n v="32"/>
    <n v="1"/>
    <n v="2"/>
    <n v="4"/>
    <n v="6029"/>
    <n v="25353"/>
    <n v="5"/>
    <n v="12"/>
    <n v="3"/>
    <n v="1"/>
    <n v="80"/>
    <n v="0"/>
    <n v="6"/>
    <n v="3"/>
    <n v="2"/>
    <n v="2"/>
    <n v="2"/>
    <n v="2"/>
  </r>
  <r>
    <s v="No"/>
    <s v="Travel_Rarely"/>
    <x v="2"/>
    <s v="Current Employees"/>
    <x v="0"/>
    <x v="1"/>
    <s v="STAFF-2060"/>
    <n v="2060"/>
    <x v="0"/>
    <x v="6"/>
    <x v="0"/>
    <s v="No"/>
    <s v="Y"/>
    <n v="2"/>
    <n v="-2"/>
    <n v="0"/>
    <n v="26"/>
    <n v="0"/>
    <m/>
    <n v="0"/>
    <n v="1"/>
    <n v="1167"/>
    <n v="5"/>
    <x v="3"/>
    <n v="1"/>
    <n v="4"/>
    <n v="30"/>
    <n v="2"/>
    <n v="1"/>
    <n v="3"/>
    <n v="2966"/>
    <n v="21378"/>
    <n v="0"/>
    <n v="18"/>
    <n v="3"/>
    <n v="4"/>
    <n v="80"/>
    <n v="0"/>
    <n v="5"/>
    <n v="3"/>
    <n v="4"/>
    <n v="2"/>
    <n v="0"/>
    <n v="0"/>
  </r>
  <r>
    <s v="No"/>
    <s v="Travel_Rarely"/>
    <x v="1"/>
    <s v="Current Employees"/>
    <x v="0"/>
    <x v="0"/>
    <s v="STAFF-2046"/>
    <n v="2046"/>
    <x v="0"/>
    <x v="0"/>
    <x v="0"/>
    <s v="No"/>
    <s v="Y"/>
    <n v="3"/>
    <n v="-2"/>
    <n v="0"/>
    <n v="45"/>
    <n v="0"/>
    <m/>
    <n v="0"/>
    <n v="1"/>
    <n v="374"/>
    <n v="20"/>
    <x v="3"/>
    <n v="1"/>
    <n v="4"/>
    <n v="50"/>
    <n v="3"/>
    <n v="2"/>
    <n v="3"/>
    <n v="4850"/>
    <n v="23333"/>
    <n v="8"/>
    <n v="15"/>
    <n v="3"/>
    <n v="3"/>
    <n v="80"/>
    <n v="0"/>
    <n v="8"/>
    <n v="3"/>
    <n v="5"/>
    <n v="3"/>
    <n v="0"/>
    <n v="1"/>
  </r>
  <r>
    <s v="No"/>
    <s v="Travel_Rarely"/>
    <x v="1"/>
    <s v="Current Employees"/>
    <x v="0"/>
    <x v="3"/>
    <s v="STAFF-1757"/>
    <n v="1757"/>
    <x v="0"/>
    <x v="0"/>
    <x v="0"/>
    <s v="No"/>
    <s v="Y"/>
    <n v="1"/>
    <n v="-2"/>
    <n v="0"/>
    <n v="49"/>
    <n v="0"/>
    <m/>
    <n v="0"/>
    <n v="1"/>
    <n v="1313"/>
    <n v="11"/>
    <x v="2"/>
    <n v="1"/>
    <n v="4"/>
    <n v="80"/>
    <n v="3"/>
    <n v="2"/>
    <n v="2"/>
    <n v="4507"/>
    <n v="8191"/>
    <n v="3"/>
    <n v="12"/>
    <n v="3"/>
    <n v="3"/>
    <n v="80"/>
    <n v="0"/>
    <n v="8"/>
    <n v="4"/>
    <n v="5"/>
    <n v="1"/>
    <n v="0"/>
    <n v="4"/>
  </r>
  <r>
    <s v="No"/>
    <s v="Non-Travel"/>
    <x v="2"/>
    <s v="Current Employees"/>
    <x v="2"/>
    <x v="0"/>
    <s v="STAFF-1858"/>
    <n v="1858"/>
    <x v="1"/>
    <x v="8"/>
    <x v="2"/>
    <s v="No"/>
    <s v="Y"/>
    <n v="2"/>
    <n v="-2"/>
    <n v="0"/>
    <n v="28"/>
    <n v="0"/>
    <m/>
    <n v="0"/>
    <n v="1"/>
    <n v="280"/>
    <n v="1"/>
    <x v="0"/>
    <n v="1"/>
    <n v="3"/>
    <n v="43"/>
    <n v="3"/>
    <n v="1"/>
    <n v="4"/>
    <n v="2706"/>
    <n v="10494"/>
    <n v="1"/>
    <n v="15"/>
    <n v="3"/>
    <n v="2"/>
    <n v="80"/>
    <n v="1"/>
    <n v="3"/>
    <n v="3"/>
    <n v="3"/>
    <n v="2"/>
    <n v="2"/>
    <n v="2"/>
  </r>
  <r>
    <s v="No"/>
    <s v="Non-Travel"/>
    <x v="0"/>
    <s v="Current Employees"/>
    <x v="2"/>
    <x v="5"/>
    <s v="STAFF-1805"/>
    <n v="1805"/>
    <x v="1"/>
    <x v="8"/>
    <x v="2"/>
    <s v="No"/>
    <s v="Y"/>
    <n v="3"/>
    <n v="-2"/>
    <n v="0"/>
    <n v="38"/>
    <n v="0"/>
    <m/>
    <n v="0"/>
    <n v="1"/>
    <n v="1336"/>
    <n v="2"/>
    <x v="3"/>
    <n v="1"/>
    <n v="1"/>
    <n v="100"/>
    <n v="3"/>
    <n v="1"/>
    <n v="2"/>
    <n v="2592"/>
    <n v="7129"/>
    <n v="5"/>
    <n v="13"/>
    <n v="3"/>
    <n v="4"/>
    <n v="80"/>
    <n v="3"/>
    <n v="13"/>
    <n v="3"/>
    <n v="11"/>
    <n v="10"/>
    <n v="3"/>
    <n v="8"/>
  </r>
  <r>
    <s v="No"/>
    <s v="Non-Travel"/>
    <x v="0"/>
    <s v="Current Employees"/>
    <x v="2"/>
    <x v="5"/>
    <s v="STAFF-1722"/>
    <n v="1722"/>
    <x v="1"/>
    <x v="8"/>
    <x v="1"/>
    <s v="No"/>
    <s v="Y"/>
    <n v="4"/>
    <n v="-2"/>
    <n v="0"/>
    <n v="41"/>
    <n v="0"/>
    <m/>
    <n v="0"/>
    <n v="1"/>
    <n v="552"/>
    <n v="4"/>
    <x v="3"/>
    <n v="1"/>
    <n v="3"/>
    <n v="60"/>
    <n v="1"/>
    <n v="2"/>
    <n v="2"/>
    <n v="6430"/>
    <n v="20794"/>
    <n v="6"/>
    <n v="19"/>
    <n v="3"/>
    <n v="2"/>
    <n v="80"/>
    <n v="1"/>
    <n v="10"/>
    <n v="3"/>
    <n v="3"/>
    <n v="2"/>
    <n v="1"/>
    <n v="2"/>
  </r>
  <r>
    <s v="No"/>
    <s v="Non-Travel"/>
    <x v="0"/>
    <s v="Current Employees"/>
    <x v="1"/>
    <x v="2"/>
    <s v="STAFF-1804"/>
    <n v="1804"/>
    <x v="1"/>
    <x v="3"/>
    <x v="2"/>
    <s v="No"/>
    <s v="Y"/>
    <n v="6"/>
    <n v="-2"/>
    <n v="0"/>
    <n v="35"/>
    <n v="0"/>
    <m/>
    <n v="0"/>
    <n v="1"/>
    <n v="1180"/>
    <n v="2"/>
    <x v="0"/>
    <n v="1"/>
    <n v="2"/>
    <n v="90"/>
    <n v="3"/>
    <n v="2"/>
    <n v="4"/>
    <n v="5762"/>
    <n v="24442"/>
    <n v="2"/>
    <n v="14"/>
    <n v="3"/>
    <n v="3"/>
    <n v="80"/>
    <n v="1"/>
    <n v="15"/>
    <n v="3"/>
    <n v="7"/>
    <n v="7"/>
    <n v="1"/>
    <n v="7"/>
  </r>
  <r>
    <s v="No"/>
    <s v="Non-Travel"/>
    <x v="0"/>
    <s v="Current Employees"/>
    <x v="1"/>
    <x v="2"/>
    <s v="STAFF-1468"/>
    <n v="1468"/>
    <x v="1"/>
    <x v="7"/>
    <x v="2"/>
    <s v="No"/>
    <s v="Y"/>
    <n v="5"/>
    <n v="-2"/>
    <n v="0"/>
    <n v="40"/>
    <n v="0"/>
    <m/>
    <n v="0"/>
    <n v="1"/>
    <n v="218"/>
    <n v="8"/>
    <x v="1"/>
    <n v="1"/>
    <n v="4"/>
    <n v="55"/>
    <n v="2"/>
    <n v="3"/>
    <n v="2"/>
    <n v="13757"/>
    <n v="25178"/>
    <n v="2"/>
    <n v="11"/>
    <n v="3"/>
    <n v="3"/>
    <n v="80"/>
    <n v="1"/>
    <n v="16"/>
    <n v="3"/>
    <n v="9"/>
    <n v="8"/>
    <n v="4"/>
    <n v="8"/>
  </r>
  <r>
    <s v="No"/>
    <s v="Non-Travel"/>
    <x v="2"/>
    <s v="Current Employees"/>
    <x v="1"/>
    <x v="4"/>
    <s v="STAFF-1482"/>
    <n v="1482"/>
    <x v="1"/>
    <x v="1"/>
    <x v="2"/>
    <s v="No"/>
    <s v="Y"/>
    <n v="2"/>
    <n v="-2"/>
    <n v="0"/>
    <n v="30"/>
    <n v="0"/>
    <m/>
    <n v="0"/>
    <n v="1"/>
    <n v="990"/>
    <n v="7"/>
    <x v="3"/>
    <n v="1"/>
    <n v="4"/>
    <n v="64"/>
    <n v="3"/>
    <n v="1"/>
    <n v="4"/>
    <n v="1274"/>
    <n v="7152"/>
    <n v="1"/>
    <n v="13"/>
    <n v="3"/>
    <n v="2"/>
    <n v="80"/>
    <n v="2"/>
    <n v="1"/>
    <n v="2"/>
    <n v="1"/>
    <n v="0"/>
    <n v="0"/>
    <n v="0"/>
  </r>
  <r>
    <s v="No"/>
    <s v="Non-Travel"/>
    <x v="0"/>
    <s v="Current Employees"/>
    <x v="1"/>
    <x v="1"/>
    <s v="STAFF-1449"/>
    <n v="1449"/>
    <x v="1"/>
    <x v="2"/>
    <x v="2"/>
    <s v="No"/>
    <s v="Y"/>
    <n v="2"/>
    <n v="-2"/>
    <n v="0"/>
    <n v="40"/>
    <n v="0"/>
    <m/>
    <n v="0"/>
    <n v="1"/>
    <n v="663"/>
    <n v="9"/>
    <x v="2"/>
    <n v="1"/>
    <n v="3"/>
    <n v="81"/>
    <n v="3"/>
    <n v="2"/>
    <n v="3"/>
    <n v="3975"/>
    <n v="23099"/>
    <n v="3"/>
    <n v="11"/>
    <n v="3"/>
    <n v="3"/>
    <n v="80"/>
    <n v="2"/>
    <n v="11"/>
    <n v="4"/>
    <n v="8"/>
    <n v="7"/>
    <n v="0"/>
    <n v="7"/>
  </r>
  <r>
    <s v="No"/>
    <s v="Non-Travel"/>
    <x v="2"/>
    <s v="Current Employees"/>
    <x v="1"/>
    <x v="4"/>
    <s v="STAFF-1771"/>
    <n v="1771"/>
    <x v="1"/>
    <x v="1"/>
    <x v="2"/>
    <s v="No"/>
    <s v="Y"/>
    <n v="2"/>
    <n v="-2"/>
    <n v="0"/>
    <n v="33"/>
    <n v="0"/>
    <m/>
    <n v="0"/>
    <n v="1"/>
    <n v="775"/>
    <n v="4"/>
    <x v="3"/>
    <n v="1"/>
    <n v="4"/>
    <n v="90"/>
    <n v="3"/>
    <n v="2"/>
    <n v="4"/>
    <n v="3055"/>
    <n v="6194"/>
    <n v="5"/>
    <n v="15"/>
    <n v="3"/>
    <n v="4"/>
    <n v="80"/>
    <n v="2"/>
    <n v="11"/>
    <n v="2"/>
    <n v="9"/>
    <n v="8"/>
    <n v="1"/>
    <n v="7"/>
  </r>
  <r>
    <s v="No"/>
    <s v="Non-Travel"/>
    <x v="2"/>
    <s v="Current Employees"/>
    <x v="1"/>
    <x v="2"/>
    <s v="STAFF-1994"/>
    <n v="1994"/>
    <x v="1"/>
    <x v="2"/>
    <x v="2"/>
    <s v="No"/>
    <s v="Y"/>
    <n v="2"/>
    <n v="-2"/>
    <n v="0"/>
    <n v="33"/>
    <n v="0"/>
    <m/>
    <n v="0"/>
    <n v="1"/>
    <n v="1313"/>
    <n v="1"/>
    <x v="0"/>
    <n v="1"/>
    <n v="2"/>
    <n v="59"/>
    <n v="2"/>
    <n v="1"/>
    <n v="3"/>
    <n v="2008"/>
    <n v="20439"/>
    <n v="1"/>
    <n v="12"/>
    <n v="3"/>
    <n v="3"/>
    <n v="80"/>
    <n v="3"/>
    <n v="1"/>
    <n v="2"/>
    <n v="1"/>
    <n v="1"/>
    <n v="0"/>
    <n v="0"/>
  </r>
  <r>
    <s v="No"/>
    <s v="Non-Travel"/>
    <x v="1"/>
    <s v="Current Employees"/>
    <x v="1"/>
    <x v="4"/>
    <s v="STAFF-1934"/>
    <n v="1934"/>
    <x v="1"/>
    <x v="1"/>
    <x v="1"/>
    <s v="No"/>
    <s v="Y"/>
    <n v="4"/>
    <n v="-2"/>
    <n v="0"/>
    <n v="47"/>
    <n v="0"/>
    <m/>
    <n v="0"/>
    <n v="1"/>
    <n v="1169"/>
    <n v="14"/>
    <x v="2"/>
    <n v="1"/>
    <n v="4"/>
    <n v="64"/>
    <n v="3"/>
    <n v="2"/>
    <n v="4"/>
    <n v="5467"/>
    <n v="2125"/>
    <n v="8"/>
    <n v="18"/>
    <n v="3"/>
    <n v="3"/>
    <n v="80"/>
    <n v="1"/>
    <n v="16"/>
    <n v="4"/>
    <n v="8"/>
    <n v="7"/>
    <n v="1"/>
    <n v="7"/>
  </r>
  <r>
    <s v="No"/>
    <s v="Non-Travel"/>
    <x v="2"/>
    <s v="Current Employees"/>
    <x v="1"/>
    <x v="4"/>
    <s v="STAFF-1574"/>
    <n v="1574"/>
    <x v="1"/>
    <x v="1"/>
    <x v="1"/>
    <s v="No"/>
    <s v="Y"/>
    <n v="3"/>
    <n v="-2"/>
    <n v="0"/>
    <n v="32"/>
    <n v="0"/>
    <m/>
    <n v="0"/>
    <n v="1"/>
    <n v="1200"/>
    <n v="1"/>
    <x v="2"/>
    <n v="1"/>
    <n v="4"/>
    <n v="62"/>
    <n v="3"/>
    <n v="2"/>
    <n v="4"/>
    <n v="4087"/>
    <n v="25174"/>
    <n v="4"/>
    <n v="14"/>
    <n v="3"/>
    <n v="2"/>
    <n v="80"/>
    <n v="1"/>
    <n v="9"/>
    <n v="2"/>
    <n v="6"/>
    <n v="5"/>
    <n v="1"/>
    <n v="2"/>
  </r>
  <r>
    <s v="No"/>
    <s v="Non-Travel"/>
    <x v="0"/>
    <s v="Current Employees"/>
    <x v="1"/>
    <x v="0"/>
    <s v="STAFF-1813"/>
    <n v="1813"/>
    <x v="1"/>
    <x v="1"/>
    <x v="0"/>
    <s v="No"/>
    <s v="Y"/>
    <n v="2"/>
    <n v="-2"/>
    <n v="0"/>
    <n v="43"/>
    <n v="0"/>
    <m/>
    <n v="0"/>
    <n v="1"/>
    <n v="343"/>
    <n v="9"/>
    <x v="3"/>
    <n v="1"/>
    <n v="1"/>
    <n v="52"/>
    <n v="3"/>
    <n v="1"/>
    <n v="3"/>
    <n v="2438"/>
    <n v="24978"/>
    <n v="4"/>
    <n v="13"/>
    <n v="3"/>
    <n v="3"/>
    <n v="80"/>
    <n v="0"/>
    <n v="7"/>
    <n v="2"/>
    <n v="3"/>
    <n v="2"/>
    <n v="1"/>
    <n v="2"/>
  </r>
  <r>
    <s v="No"/>
    <s v="Non-Travel"/>
    <x v="2"/>
    <s v="Current Employees"/>
    <x v="1"/>
    <x v="2"/>
    <s v="STAFF-2057"/>
    <n v="2057"/>
    <x v="1"/>
    <x v="3"/>
    <x v="0"/>
    <s v="No"/>
    <s v="Y"/>
    <n v="2"/>
    <n v="-2"/>
    <n v="0"/>
    <n v="31"/>
    <n v="0"/>
    <m/>
    <n v="0"/>
    <n v="1"/>
    <n v="325"/>
    <n v="5"/>
    <x v="3"/>
    <n v="1"/>
    <n v="2"/>
    <n v="74"/>
    <n v="3"/>
    <n v="2"/>
    <n v="3"/>
    <n v="9936"/>
    <n v="3787"/>
    <n v="0"/>
    <n v="19"/>
    <n v="3"/>
    <n v="2"/>
    <n v="80"/>
    <n v="0"/>
    <n v="10"/>
    <n v="3"/>
    <n v="9"/>
    <n v="4"/>
    <n v="1"/>
    <n v="7"/>
  </r>
  <r>
    <s v="No"/>
    <s v="Non-Travel"/>
    <x v="2"/>
    <s v="Current Employees"/>
    <x v="1"/>
    <x v="4"/>
    <s v="STAFF-1764"/>
    <n v="1764"/>
    <x v="1"/>
    <x v="1"/>
    <x v="0"/>
    <s v="No"/>
    <s v="Y"/>
    <n v="3"/>
    <n v="-2"/>
    <n v="0"/>
    <n v="32"/>
    <n v="0"/>
    <m/>
    <n v="0"/>
    <n v="1"/>
    <n v="953"/>
    <n v="5"/>
    <x v="2"/>
    <n v="1"/>
    <n v="4"/>
    <n v="65"/>
    <n v="3"/>
    <n v="1"/>
    <n v="4"/>
    <n v="2718"/>
    <n v="17674"/>
    <n v="2"/>
    <n v="14"/>
    <n v="3"/>
    <n v="2"/>
    <n v="80"/>
    <n v="0"/>
    <n v="12"/>
    <n v="3"/>
    <n v="7"/>
    <n v="7"/>
    <n v="0"/>
    <n v="7"/>
  </r>
  <r>
    <s v="No"/>
    <s v="Non-Travel"/>
    <x v="0"/>
    <s v="Current Employees"/>
    <x v="1"/>
    <x v="0"/>
    <s v="STAFF-1471"/>
    <n v="1471"/>
    <x v="1"/>
    <x v="2"/>
    <x v="0"/>
    <s v="No"/>
    <s v="Y"/>
    <n v="5"/>
    <n v="-2"/>
    <n v="0"/>
    <n v="44"/>
    <n v="0"/>
    <m/>
    <n v="0"/>
    <n v="1"/>
    <n v="981"/>
    <n v="5"/>
    <x v="3"/>
    <n v="1"/>
    <n v="3"/>
    <n v="90"/>
    <n v="2"/>
    <n v="1"/>
    <n v="3"/>
    <n v="3162"/>
    <n v="7973"/>
    <n v="3"/>
    <n v="14"/>
    <n v="3"/>
    <n v="4"/>
    <n v="80"/>
    <n v="0"/>
    <n v="7"/>
    <n v="3"/>
    <n v="5"/>
    <n v="2"/>
    <n v="0"/>
    <n v="3"/>
  </r>
  <r>
    <s v="No"/>
    <s v="Non-Travel"/>
    <x v="2"/>
    <s v="Current Employees"/>
    <x v="1"/>
    <x v="2"/>
    <s v="STAFF-1947"/>
    <n v="1947"/>
    <x v="1"/>
    <x v="1"/>
    <x v="0"/>
    <s v="No"/>
    <s v="Y"/>
    <n v="3"/>
    <n v="-2"/>
    <n v="0"/>
    <n v="28"/>
    <n v="0"/>
    <m/>
    <n v="0"/>
    <n v="1"/>
    <n v="1103"/>
    <n v="16"/>
    <x v="3"/>
    <n v="1"/>
    <n v="3"/>
    <n v="49"/>
    <n v="3"/>
    <n v="1"/>
    <n v="3"/>
    <n v="2144"/>
    <n v="2122"/>
    <n v="1"/>
    <n v="14"/>
    <n v="3"/>
    <n v="3"/>
    <n v="80"/>
    <n v="0"/>
    <n v="5"/>
    <n v="2"/>
    <n v="5"/>
    <n v="3"/>
    <n v="1"/>
    <n v="4"/>
  </r>
  <r>
    <s v="No"/>
    <s v="Non-Travel"/>
    <x v="0"/>
    <s v="Current Employees"/>
    <x v="1"/>
    <x v="4"/>
    <s v="STAFF-1440"/>
    <n v="1440"/>
    <x v="1"/>
    <x v="2"/>
    <x v="0"/>
    <s v="No"/>
    <s v="Y"/>
    <n v="2"/>
    <n v="-2"/>
    <n v="0"/>
    <n v="37"/>
    <n v="0"/>
    <m/>
    <n v="0"/>
    <n v="1"/>
    <n v="1413"/>
    <n v="5"/>
    <x v="0"/>
    <n v="1"/>
    <n v="4"/>
    <n v="84"/>
    <n v="4"/>
    <n v="1"/>
    <n v="4"/>
    <n v="3500"/>
    <n v="25470"/>
    <n v="0"/>
    <n v="14"/>
    <n v="3"/>
    <n v="1"/>
    <n v="80"/>
    <n v="0"/>
    <n v="7"/>
    <n v="1"/>
    <n v="6"/>
    <n v="5"/>
    <n v="1"/>
    <n v="3"/>
  </r>
  <r>
    <s v="No"/>
    <s v="Non-Travel"/>
    <x v="0"/>
    <s v="Current Employees"/>
    <x v="1"/>
    <x v="0"/>
    <s v="STAFF-1976"/>
    <n v="1976"/>
    <x v="1"/>
    <x v="1"/>
    <x v="0"/>
    <s v="No"/>
    <s v="Y"/>
    <n v="2"/>
    <n v="-2"/>
    <n v="0"/>
    <n v="42"/>
    <n v="0"/>
    <m/>
    <n v="0"/>
    <n v="1"/>
    <n v="335"/>
    <n v="23"/>
    <x v="0"/>
    <n v="1"/>
    <n v="4"/>
    <n v="37"/>
    <n v="2"/>
    <n v="2"/>
    <n v="3"/>
    <n v="4332"/>
    <n v="14811"/>
    <n v="1"/>
    <n v="12"/>
    <n v="3"/>
    <n v="4"/>
    <n v="80"/>
    <n v="0"/>
    <n v="20"/>
    <n v="3"/>
    <n v="20"/>
    <n v="9"/>
    <n v="3"/>
    <n v="7"/>
  </r>
  <r>
    <s v="No"/>
    <s v="Non-Travel"/>
    <x v="0"/>
    <s v="Current Employees"/>
    <x v="1"/>
    <x v="0"/>
    <s v="STAFF-2022"/>
    <n v="2022"/>
    <x v="1"/>
    <x v="5"/>
    <x v="0"/>
    <s v="No"/>
    <s v="Y"/>
    <n v="3"/>
    <n v="-2"/>
    <n v="0"/>
    <n v="39"/>
    <n v="0"/>
    <m/>
    <n v="0"/>
    <n v="1"/>
    <n v="105"/>
    <n v="9"/>
    <x v="3"/>
    <n v="1"/>
    <n v="4"/>
    <n v="87"/>
    <n v="3"/>
    <n v="5"/>
    <n v="4"/>
    <n v="19431"/>
    <n v="15302"/>
    <n v="2"/>
    <n v="13"/>
    <n v="3"/>
    <n v="3"/>
    <n v="80"/>
    <n v="0"/>
    <n v="21"/>
    <n v="2"/>
    <n v="6"/>
    <n v="0"/>
    <n v="1"/>
    <n v="3"/>
  </r>
  <r>
    <s v="No"/>
    <s v="Non-Travel"/>
    <x v="1"/>
    <s v="Current Employees"/>
    <x v="0"/>
    <x v="0"/>
    <s v="STAFF-2019"/>
    <n v="2019"/>
    <x v="1"/>
    <x v="6"/>
    <x v="2"/>
    <s v="No"/>
    <s v="Y"/>
    <n v="3"/>
    <n v="-2"/>
    <n v="0"/>
    <n v="52"/>
    <n v="0"/>
    <m/>
    <n v="0"/>
    <n v="1"/>
    <n v="585"/>
    <n v="29"/>
    <x v="2"/>
    <n v="1"/>
    <n v="1"/>
    <n v="40"/>
    <n v="3"/>
    <n v="1"/>
    <n v="4"/>
    <n v="3482"/>
    <n v="19788"/>
    <n v="2"/>
    <n v="15"/>
    <n v="3"/>
    <n v="2"/>
    <n v="80"/>
    <n v="2"/>
    <n v="16"/>
    <n v="2"/>
    <n v="9"/>
    <n v="8"/>
    <n v="0"/>
    <n v="0"/>
  </r>
  <r>
    <s v="No"/>
    <s v="Non-Travel"/>
    <x v="1"/>
    <s v="Current Employees"/>
    <x v="0"/>
    <x v="3"/>
    <s v="STAFF-1612"/>
    <n v="1612"/>
    <x v="1"/>
    <x v="0"/>
    <x v="1"/>
    <s v="No"/>
    <s v="Y"/>
    <n v="2"/>
    <n v="-2"/>
    <n v="0"/>
    <n v="45"/>
    <n v="0"/>
    <m/>
    <n v="0"/>
    <n v="1"/>
    <n v="336"/>
    <n v="26"/>
    <x v="3"/>
    <n v="1"/>
    <n v="1"/>
    <n v="52"/>
    <n v="2"/>
    <n v="2"/>
    <n v="2"/>
    <n v="4385"/>
    <n v="24162"/>
    <n v="1"/>
    <n v="15"/>
    <n v="3"/>
    <n v="1"/>
    <n v="80"/>
    <n v="1"/>
    <n v="10"/>
    <n v="3"/>
    <n v="10"/>
    <n v="7"/>
    <n v="4"/>
    <n v="5"/>
  </r>
  <r>
    <s v="No"/>
    <s v="Non-Travel"/>
    <x v="1"/>
    <s v="Current Employees"/>
    <x v="0"/>
    <x v="3"/>
    <s v="STAFF-1731"/>
    <n v="1731"/>
    <x v="1"/>
    <x v="0"/>
    <x v="1"/>
    <s v="No"/>
    <s v="Y"/>
    <n v="3"/>
    <n v="-2"/>
    <n v="0"/>
    <n v="47"/>
    <n v="0"/>
    <m/>
    <n v="0"/>
    <n v="1"/>
    <n v="543"/>
    <n v="2"/>
    <x v="2"/>
    <n v="1"/>
    <n v="3"/>
    <n v="87"/>
    <n v="3"/>
    <n v="2"/>
    <n v="2"/>
    <n v="4978"/>
    <n v="3536"/>
    <n v="7"/>
    <n v="11"/>
    <n v="3"/>
    <n v="4"/>
    <n v="80"/>
    <n v="1"/>
    <n v="4"/>
    <n v="1"/>
    <n v="1"/>
    <n v="0"/>
    <n v="0"/>
    <n v="0"/>
  </r>
  <r>
    <s v="No"/>
    <s v="Non-Travel"/>
    <x v="1"/>
    <s v="Current Employees"/>
    <x v="0"/>
    <x v="0"/>
    <s v="STAFF-1801"/>
    <n v="1801"/>
    <x v="1"/>
    <x v="0"/>
    <x v="0"/>
    <s v="No"/>
    <s v="Y"/>
    <n v="3"/>
    <n v="-2"/>
    <n v="0"/>
    <n v="46"/>
    <n v="0"/>
    <m/>
    <n v="0"/>
    <n v="1"/>
    <n v="849"/>
    <n v="26"/>
    <x v="0"/>
    <n v="1"/>
    <n v="2"/>
    <n v="98"/>
    <n v="2"/>
    <n v="2"/>
    <n v="2"/>
    <n v="7991"/>
    <n v="25166"/>
    <n v="8"/>
    <n v="15"/>
    <n v="3"/>
    <n v="3"/>
    <n v="80"/>
    <n v="0"/>
    <n v="6"/>
    <n v="3"/>
    <n v="2"/>
    <n v="2"/>
    <n v="2"/>
    <n v="2"/>
  </r>
  <r>
    <s v="No"/>
    <s v="Travel_Frequently"/>
    <x v="0"/>
    <s v="Current Employees"/>
    <x v="2"/>
    <x v="5"/>
    <s v="STAFF-1563"/>
    <n v="1563"/>
    <x v="1"/>
    <x v="8"/>
    <x v="1"/>
    <s v="No"/>
    <s v="Y"/>
    <n v="2"/>
    <n v="-2"/>
    <n v="0"/>
    <n v="38"/>
    <n v="0"/>
    <m/>
    <n v="0"/>
    <n v="1"/>
    <n v="888"/>
    <n v="10"/>
    <x v="2"/>
    <n v="1"/>
    <n v="3"/>
    <n v="71"/>
    <n v="3"/>
    <n v="2"/>
    <n v="3"/>
    <n v="6077"/>
    <n v="14814"/>
    <n v="3"/>
    <n v="11"/>
    <n v="3"/>
    <n v="3"/>
    <n v="80"/>
    <n v="0"/>
    <n v="10"/>
    <n v="3"/>
    <n v="6"/>
    <n v="3"/>
    <n v="1"/>
    <n v="2"/>
  </r>
  <r>
    <s v="No"/>
    <s v="Travel_Frequently"/>
    <x v="4"/>
    <s v="Current Employees"/>
    <x v="2"/>
    <x v="2"/>
    <s v="STAFF-1746"/>
    <n v="1746"/>
    <x v="1"/>
    <x v="8"/>
    <x v="1"/>
    <s v="No"/>
    <s v="Y"/>
    <n v="2"/>
    <n v="-2"/>
    <n v="0"/>
    <n v="24"/>
    <n v="0"/>
    <m/>
    <n v="0"/>
    <n v="1"/>
    <n v="897"/>
    <n v="10"/>
    <x v="3"/>
    <n v="1"/>
    <n v="1"/>
    <n v="59"/>
    <n v="3"/>
    <n v="1"/>
    <n v="4"/>
    <n v="2145"/>
    <n v="2097"/>
    <n v="0"/>
    <n v="14"/>
    <n v="3"/>
    <n v="4"/>
    <n v="80"/>
    <n v="1"/>
    <n v="3"/>
    <n v="3"/>
    <n v="2"/>
    <n v="2"/>
    <n v="2"/>
    <n v="1"/>
  </r>
  <r>
    <s v="No"/>
    <s v="Travel_Frequently"/>
    <x v="2"/>
    <s v="Current Employees"/>
    <x v="1"/>
    <x v="0"/>
    <s v="STAFF-1590"/>
    <n v="1590"/>
    <x v="1"/>
    <x v="4"/>
    <x v="2"/>
    <s v="No"/>
    <s v="Y"/>
    <n v="0"/>
    <n v="-2"/>
    <n v="0"/>
    <n v="29"/>
    <n v="0"/>
    <m/>
    <n v="0"/>
    <n v="1"/>
    <n v="995"/>
    <n v="2"/>
    <x v="1"/>
    <n v="1"/>
    <n v="1"/>
    <n v="87"/>
    <n v="3"/>
    <n v="2"/>
    <n v="4"/>
    <n v="8853"/>
    <n v="24483"/>
    <n v="1"/>
    <n v="19"/>
    <n v="3"/>
    <n v="4"/>
    <n v="80"/>
    <n v="1"/>
    <n v="6"/>
    <n v="4"/>
    <n v="6"/>
    <n v="4"/>
    <n v="1"/>
    <n v="3"/>
  </r>
  <r>
    <s v="No"/>
    <s v="Travel_Frequently"/>
    <x v="2"/>
    <s v="Current Employees"/>
    <x v="1"/>
    <x v="0"/>
    <s v="STAFF-1615"/>
    <n v="1615"/>
    <x v="1"/>
    <x v="3"/>
    <x v="2"/>
    <s v="No"/>
    <s v="Y"/>
    <n v="3"/>
    <n v="-2"/>
    <n v="0"/>
    <n v="34"/>
    <n v="0"/>
    <m/>
    <n v="0"/>
    <n v="1"/>
    <n v="426"/>
    <n v="10"/>
    <x v="2"/>
    <n v="1"/>
    <n v="3"/>
    <n v="42"/>
    <n v="4"/>
    <n v="2"/>
    <n v="4"/>
    <n v="4724"/>
    <n v="17000"/>
    <n v="1"/>
    <n v="13"/>
    <n v="3"/>
    <n v="1"/>
    <n v="80"/>
    <n v="1"/>
    <n v="9"/>
    <n v="3"/>
    <n v="9"/>
    <n v="7"/>
    <n v="7"/>
    <n v="2"/>
  </r>
  <r>
    <s v="No"/>
    <s v="Travel_Frequently"/>
    <x v="2"/>
    <s v="Current Employees"/>
    <x v="1"/>
    <x v="2"/>
    <s v="STAFF-1485"/>
    <n v="1485"/>
    <x v="1"/>
    <x v="7"/>
    <x v="2"/>
    <s v="No"/>
    <s v="Y"/>
    <n v="3"/>
    <n v="-2"/>
    <n v="0"/>
    <n v="34"/>
    <n v="0"/>
    <m/>
    <n v="0"/>
    <n v="1"/>
    <n v="829"/>
    <n v="15"/>
    <x v="3"/>
    <n v="1"/>
    <n v="2"/>
    <n v="71"/>
    <n v="3"/>
    <n v="4"/>
    <n v="3"/>
    <n v="17007"/>
    <n v="11929"/>
    <n v="7"/>
    <n v="14"/>
    <n v="3"/>
    <n v="4"/>
    <n v="80"/>
    <n v="2"/>
    <n v="16"/>
    <n v="2"/>
    <n v="14"/>
    <n v="8"/>
    <n v="6"/>
    <n v="9"/>
  </r>
  <r>
    <s v="No"/>
    <s v="Travel_Frequently"/>
    <x v="2"/>
    <s v="Current Employees"/>
    <x v="1"/>
    <x v="1"/>
    <s v="STAFF-1431"/>
    <n v="1431"/>
    <x v="1"/>
    <x v="1"/>
    <x v="2"/>
    <s v="No"/>
    <s v="Y"/>
    <n v="2"/>
    <n v="-2"/>
    <n v="0"/>
    <n v="34"/>
    <n v="0"/>
    <m/>
    <n v="0"/>
    <n v="1"/>
    <n v="560"/>
    <n v="1"/>
    <x v="2"/>
    <n v="1"/>
    <n v="4"/>
    <n v="91"/>
    <n v="3"/>
    <n v="1"/>
    <n v="3"/>
    <n v="2996"/>
    <n v="20284"/>
    <n v="5"/>
    <n v="14"/>
    <n v="3"/>
    <n v="3"/>
    <n v="80"/>
    <n v="2"/>
    <n v="10"/>
    <n v="3"/>
    <n v="4"/>
    <n v="3"/>
    <n v="1"/>
    <n v="3"/>
  </r>
  <r>
    <s v="No"/>
    <s v="Travel_Frequently"/>
    <x v="2"/>
    <s v="Current Employees"/>
    <x v="1"/>
    <x v="0"/>
    <s v="STAFF-1653"/>
    <n v="1653"/>
    <x v="1"/>
    <x v="3"/>
    <x v="2"/>
    <s v="No"/>
    <s v="Y"/>
    <n v="6"/>
    <n v="-2"/>
    <n v="0"/>
    <n v="25"/>
    <n v="0"/>
    <m/>
    <n v="0"/>
    <n v="1"/>
    <n v="772"/>
    <n v="2"/>
    <x v="1"/>
    <n v="1"/>
    <n v="4"/>
    <n v="77"/>
    <n v="4"/>
    <n v="2"/>
    <n v="3"/>
    <n v="5206"/>
    <n v="4973"/>
    <n v="1"/>
    <n v="17"/>
    <n v="3"/>
    <n v="3"/>
    <n v="80"/>
    <n v="2"/>
    <n v="7"/>
    <n v="3"/>
    <n v="7"/>
    <n v="7"/>
    <n v="0"/>
    <n v="7"/>
  </r>
  <r>
    <s v="No"/>
    <s v="Travel_Frequently"/>
    <x v="1"/>
    <s v="Current Employees"/>
    <x v="1"/>
    <x v="0"/>
    <s v="STAFF-1941"/>
    <n v="1941"/>
    <x v="1"/>
    <x v="7"/>
    <x v="1"/>
    <s v="No"/>
    <s v="Y"/>
    <n v="3"/>
    <n v="-2"/>
    <n v="0"/>
    <n v="49"/>
    <n v="0"/>
    <m/>
    <n v="0"/>
    <n v="1"/>
    <n v="1064"/>
    <n v="2"/>
    <x v="1"/>
    <n v="1"/>
    <n v="2"/>
    <n v="42"/>
    <n v="3"/>
    <n v="5"/>
    <n v="4"/>
    <n v="19161"/>
    <n v="13738"/>
    <n v="3"/>
    <n v="15"/>
    <n v="3"/>
    <n v="4"/>
    <n v="80"/>
    <n v="0"/>
    <n v="28"/>
    <n v="3"/>
    <n v="5"/>
    <n v="4"/>
    <n v="4"/>
    <n v="3"/>
  </r>
  <r>
    <s v="No"/>
    <s v="Travel_Frequently"/>
    <x v="2"/>
    <s v="Current Employees"/>
    <x v="1"/>
    <x v="2"/>
    <s v="STAFF-1852"/>
    <n v="1852"/>
    <x v="1"/>
    <x v="2"/>
    <x v="1"/>
    <s v="No"/>
    <s v="Y"/>
    <n v="3"/>
    <n v="-2"/>
    <n v="0"/>
    <n v="29"/>
    <n v="0"/>
    <m/>
    <n v="0"/>
    <n v="1"/>
    <n v="574"/>
    <n v="20"/>
    <x v="1"/>
    <n v="1"/>
    <n v="4"/>
    <n v="40"/>
    <n v="3"/>
    <n v="1"/>
    <n v="4"/>
    <n v="3812"/>
    <n v="7003"/>
    <n v="1"/>
    <n v="13"/>
    <n v="3"/>
    <n v="2"/>
    <n v="80"/>
    <n v="0"/>
    <n v="11"/>
    <n v="4"/>
    <n v="11"/>
    <n v="8"/>
    <n v="3"/>
    <n v="10"/>
  </r>
  <r>
    <s v="No"/>
    <s v="Travel_Frequently"/>
    <x v="0"/>
    <s v="Current Employees"/>
    <x v="1"/>
    <x v="0"/>
    <s v="STAFF-1997"/>
    <n v="1997"/>
    <x v="1"/>
    <x v="3"/>
    <x v="1"/>
    <s v="No"/>
    <s v="Y"/>
    <n v="1"/>
    <n v="-2"/>
    <n v="0"/>
    <n v="38"/>
    <n v="0"/>
    <m/>
    <n v="0"/>
    <n v="1"/>
    <n v="508"/>
    <n v="6"/>
    <x v="2"/>
    <n v="1"/>
    <n v="1"/>
    <n v="72"/>
    <n v="2"/>
    <n v="2"/>
    <n v="3"/>
    <n v="5321"/>
    <n v="14284"/>
    <n v="2"/>
    <n v="11"/>
    <n v="3"/>
    <n v="4"/>
    <n v="80"/>
    <n v="1"/>
    <n v="10"/>
    <n v="3"/>
    <n v="8"/>
    <n v="3"/>
    <n v="7"/>
    <n v="7"/>
  </r>
  <r>
    <s v="No"/>
    <s v="Travel_Frequently"/>
    <x v="2"/>
    <s v="Current Employees"/>
    <x v="1"/>
    <x v="0"/>
    <s v="STAFF-1720"/>
    <n v="1720"/>
    <x v="1"/>
    <x v="1"/>
    <x v="1"/>
    <s v="No"/>
    <s v="Y"/>
    <n v="3"/>
    <n v="-2"/>
    <n v="0"/>
    <n v="32"/>
    <n v="0"/>
    <m/>
    <n v="0"/>
    <n v="1"/>
    <n v="585"/>
    <n v="10"/>
    <x v="3"/>
    <n v="1"/>
    <n v="1"/>
    <n v="56"/>
    <n v="3"/>
    <n v="1"/>
    <n v="3"/>
    <n v="3433"/>
    <n v="17360"/>
    <n v="6"/>
    <n v="13"/>
    <n v="3"/>
    <n v="1"/>
    <n v="80"/>
    <n v="1"/>
    <n v="10"/>
    <n v="2"/>
    <n v="5"/>
    <n v="2"/>
    <n v="1"/>
    <n v="3"/>
  </r>
  <r>
    <s v="No"/>
    <s v="Travel_Frequently"/>
    <x v="2"/>
    <s v="Current Employees"/>
    <x v="1"/>
    <x v="1"/>
    <s v="STAFF-1918"/>
    <n v="1918"/>
    <x v="1"/>
    <x v="2"/>
    <x v="1"/>
    <s v="No"/>
    <s v="Y"/>
    <n v="3"/>
    <n v="-2"/>
    <n v="0"/>
    <n v="26"/>
    <n v="0"/>
    <m/>
    <n v="0"/>
    <n v="1"/>
    <n v="1096"/>
    <n v="6"/>
    <x v="3"/>
    <n v="1"/>
    <n v="3"/>
    <n v="61"/>
    <n v="4"/>
    <n v="1"/>
    <n v="4"/>
    <n v="2544"/>
    <n v="7102"/>
    <n v="0"/>
    <n v="18"/>
    <n v="3"/>
    <n v="1"/>
    <n v="80"/>
    <n v="1"/>
    <n v="8"/>
    <n v="3"/>
    <n v="7"/>
    <n v="7"/>
    <n v="7"/>
    <n v="7"/>
  </r>
  <r>
    <s v="No"/>
    <s v="Travel_Frequently"/>
    <x v="0"/>
    <s v="Current Employees"/>
    <x v="1"/>
    <x v="2"/>
    <s v="STAFF-2061"/>
    <n v="2061"/>
    <x v="1"/>
    <x v="2"/>
    <x v="1"/>
    <s v="No"/>
    <s v="Y"/>
    <n v="3"/>
    <n v="-2"/>
    <n v="0"/>
    <n v="36"/>
    <n v="0"/>
    <m/>
    <n v="0"/>
    <n v="1"/>
    <n v="884"/>
    <n v="23"/>
    <x v="0"/>
    <n v="1"/>
    <n v="3"/>
    <n v="41"/>
    <n v="4"/>
    <n v="2"/>
    <n v="4"/>
    <n v="2571"/>
    <n v="12290"/>
    <n v="4"/>
    <n v="17"/>
    <n v="3"/>
    <n v="3"/>
    <n v="80"/>
    <n v="1"/>
    <n v="17"/>
    <n v="3"/>
    <n v="5"/>
    <n v="2"/>
    <n v="0"/>
    <n v="3"/>
  </r>
  <r>
    <s v="No"/>
    <s v="Travel_Frequently"/>
    <x v="2"/>
    <s v="Current Employees"/>
    <x v="1"/>
    <x v="4"/>
    <s v="STAFF-1597"/>
    <n v="1597"/>
    <x v="1"/>
    <x v="4"/>
    <x v="1"/>
    <s v="No"/>
    <s v="Y"/>
    <n v="3"/>
    <n v="-2"/>
    <n v="0"/>
    <n v="34"/>
    <n v="0"/>
    <m/>
    <n v="0"/>
    <n v="1"/>
    <n v="653"/>
    <n v="10"/>
    <x v="2"/>
    <n v="1"/>
    <n v="4"/>
    <n v="92"/>
    <n v="2"/>
    <n v="2"/>
    <n v="4"/>
    <n v="5063"/>
    <n v="15332"/>
    <n v="1"/>
    <n v="14"/>
    <n v="3"/>
    <n v="2"/>
    <n v="80"/>
    <n v="1"/>
    <n v="8"/>
    <n v="2"/>
    <n v="8"/>
    <n v="2"/>
    <n v="7"/>
    <n v="7"/>
  </r>
  <r>
    <s v="No"/>
    <s v="Travel_Frequently"/>
    <x v="0"/>
    <s v="Current Employees"/>
    <x v="1"/>
    <x v="0"/>
    <s v="STAFF-1668"/>
    <n v="1668"/>
    <x v="1"/>
    <x v="1"/>
    <x v="1"/>
    <s v="No"/>
    <s v="Y"/>
    <n v="4"/>
    <n v="-2"/>
    <n v="0"/>
    <n v="38"/>
    <n v="0"/>
    <m/>
    <n v="0"/>
    <n v="1"/>
    <n v="1189"/>
    <n v="1"/>
    <x v="3"/>
    <n v="1"/>
    <n v="4"/>
    <n v="90"/>
    <n v="3"/>
    <n v="2"/>
    <n v="4"/>
    <n v="4735"/>
    <n v="9867"/>
    <n v="7"/>
    <n v="15"/>
    <n v="3"/>
    <n v="4"/>
    <n v="80"/>
    <n v="2"/>
    <n v="19"/>
    <n v="4"/>
    <n v="13"/>
    <n v="11"/>
    <n v="2"/>
    <n v="9"/>
  </r>
  <r>
    <s v="No"/>
    <s v="Travel_Frequently"/>
    <x v="1"/>
    <s v="Current Employees"/>
    <x v="1"/>
    <x v="2"/>
    <s v="STAFF-1922"/>
    <n v="1922"/>
    <x v="1"/>
    <x v="4"/>
    <x v="0"/>
    <s v="No"/>
    <s v="Y"/>
    <n v="3"/>
    <n v="-2"/>
    <n v="0"/>
    <n v="45"/>
    <n v="0"/>
    <m/>
    <n v="0"/>
    <n v="1"/>
    <n v="1297"/>
    <n v="1"/>
    <x v="2"/>
    <n v="1"/>
    <n v="2"/>
    <n v="44"/>
    <n v="3"/>
    <n v="2"/>
    <n v="3"/>
    <n v="5399"/>
    <n v="14511"/>
    <n v="4"/>
    <n v="12"/>
    <n v="3"/>
    <n v="3"/>
    <n v="80"/>
    <n v="0"/>
    <n v="12"/>
    <n v="3"/>
    <n v="4"/>
    <n v="2"/>
    <n v="0"/>
    <n v="3"/>
  </r>
  <r>
    <s v="No"/>
    <s v="Travel_Frequently"/>
    <x v="0"/>
    <s v="Current Employees"/>
    <x v="1"/>
    <x v="0"/>
    <s v="STAFF-1412"/>
    <n v="1412"/>
    <x v="1"/>
    <x v="3"/>
    <x v="0"/>
    <s v="No"/>
    <s v="Y"/>
    <n v="2"/>
    <n v="-2"/>
    <n v="0"/>
    <n v="35"/>
    <n v="0"/>
    <m/>
    <n v="0"/>
    <n v="1"/>
    <n v="200"/>
    <n v="18"/>
    <x v="0"/>
    <n v="1"/>
    <n v="3"/>
    <n v="60"/>
    <n v="3"/>
    <n v="3"/>
    <n v="4"/>
    <n v="9362"/>
    <n v="19944"/>
    <n v="2"/>
    <n v="11"/>
    <n v="3"/>
    <n v="3"/>
    <n v="80"/>
    <n v="0"/>
    <n v="10"/>
    <n v="3"/>
    <n v="2"/>
    <n v="2"/>
    <n v="2"/>
    <n v="2"/>
  </r>
  <r>
    <s v="No"/>
    <s v="Travel_Frequently"/>
    <x v="2"/>
    <s v="Current Employees"/>
    <x v="1"/>
    <x v="2"/>
    <s v="STAFF-1648"/>
    <n v="1648"/>
    <x v="1"/>
    <x v="1"/>
    <x v="0"/>
    <s v="No"/>
    <s v="Y"/>
    <n v="0"/>
    <n v="-2"/>
    <n v="0"/>
    <n v="27"/>
    <n v="0"/>
    <m/>
    <n v="0"/>
    <n v="1"/>
    <n v="591"/>
    <n v="2"/>
    <x v="3"/>
    <n v="1"/>
    <n v="4"/>
    <n v="87"/>
    <n v="3"/>
    <n v="1"/>
    <n v="4"/>
    <n v="2580"/>
    <n v="6297"/>
    <n v="2"/>
    <n v="13"/>
    <n v="3"/>
    <n v="3"/>
    <n v="80"/>
    <n v="0"/>
    <n v="6"/>
    <n v="2"/>
    <n v="4"/>
    <n v="2"/>
    <n v="1"/>
    <n v="2"/>
  </r>
  <r>
    <s v="No"/>
    <s v="Travel_Frequently"/>
    <x v="0"/>
    <s v="Current Employees"/>
    <x v="0"/>
    <x v="0"/>
    <s v="STAFF-1812"/>
    <n v="1812"/>
    <x v="1"/>
    <x v="0"/>
    <x v="2"/>
    <s v="No"/>
    <s v="Y"/>
    <n v="6"/>
    <n v="-2"/>
    <n v="0"/>
    <n v="39"/>
    <n v="0"/>
    <m/>
    <n v="0"/>
    <n v="1"/>
    <n v="766"/>
    <n v="20"/>
    <x v="3"/>
    <n v="1"/>
    <n v="3"/>
    <n v="83"/>
    <n v="3"/>
    <n v="2"/>
    <n v="4"/>
    <n v="4127"/>
    <n v="19188"/>
    <n v="2"/>
    <n v="18"/>
    <n v="3"/>
    <n v="4"/>
    <n v="80"/>
    <n v="1"/>
    <n v="7"/>
    <n v="3"/>
    <n v="2"/>
    <n v="1"/>
    <n v="2"/>
    <n v="2"/>
  </r>
  <r>
    <s v="No"/>
    <s v="Travel_Frequently"/>
    <x v="0"/>
    <s v="Current Employees"/>
    <x v="0"/>
    <x v="2"/>
    <s v="STAFF-1700"/>
    <n v="1700"/>
    <x v="1"/>
    <x v="0"/>
    <x v="2"/>
    <s v="No"/>
    <s v="Y"/>
    <n v="2"/>
    <n v="-2"/>
    <n v="0"/>
    <n v="37"/>
    <n v="0"/>
    <m/>
    <n v="0"/>
    <n v="1"/>
    <n v="1278"/>
    <n v="1"/>
    <x v="2"/>
    <n v="1"/>
    <n v="3"/>
    <n v="31"/>
    <n v="1"/>
    <n v="2"/>
    <n v="4"/>
    <n v="9525"/>
    <n v="7677"/>
    <n v="1"/>
    <n v="14"/>
    <n v="3"/>
    <n v="3"/>
    <n v="80"/>
    <n v="2"/>
    <n v="6"/>
    <n v="2"/>
    <n v="6"/>
    <n v="3"/>
    <n v="1"/>
    <n v="3"/>
  </r>
  <r>
    <s v="No"/>
    <s v="Travel_Frequently"/>
    <x v="1"/>
    <s v="Current Employees"/>
    <x v="0"/>
    <x v="2"/>
    <s v="STAFF-2065"/>
    <n v="2065"/>
    <x v="1"/>
    <x v="0"/>
    <x v="1"/>
    <s v="No"/>
    <s v="Y"/>
    <n v="3"/>
    <n v="-2"/>
    <n v="0"/>
    <n v="49"/>
    <n v="0"/>
    <m/>
    <n v="0"/>
    <n v="1"/>
    <n v="1023"/>
    <n v="2"/>
    <x v="3"/>
    <n v="1"/>
    <n v="4"/>
    <n v="63"/>
    <n v="2"/>
    <n v="2"/>
    <n v="2"/>
    <n v="5390"/>
    <n v="13243"/>
    <n v="2"/>
    <n v="14"/>
    <n v="3"/>
    <n v="4"/>
    <n v="80"/>
    <n v="0"/>
    <n v="17"/>
    <n v="2"/>
    <n v="9"/>
    <n v="6"/>
    <n v="0"/>
    <n v="8"/>
  </r>
  <r>
    <s v="No"/>
    <s v="Travel_Frequently"/>
    <x v="2"/>
    <s v="Current Employees"/>
    <x v="0"/>
    <x v="2"/>
    <s v="STAFF-1477"/>
    <n v="1477"/>
    <x v="1"/>
    <x v="0"/>
    <x v="1"/>
    <s v="No"/>
    <s v="Y"/>
    <n v="2"/>
    <n v="-2"/>
    <n v="0"/>
    <n v="33"/>
    <n v="0"/>
    <m/>
    <n v="0"/>
    <n v="1"/>
    <n v="430"/>
    <n v="7"/>
    <x v="3"/>
    <n v="1"/>
    <n v="4"/>
    <n v="54"/>
    <n v="3"/>
    <n v="2"/>
    <n v="3"/>
    <n v="4373"/>
    <n v="17456"/>
    <n v="0"/>
    <n v="14"/>
    <n v="3"/>
    <n v="1"/>
    <n v="80"/>
    <n v="2"/>
    <n v="5"/>
    <n v="3"/>
    <n v="4"/>
    <n v="3"/>
    <n v="0"/>
    <n v="3"/>
  </r>
  <r>
    <s v="No"/>
    <s v="Travel_Frequently"/>
    <x v="2"/>
    <s v="Current Employees"/>
    <x v="0"/>
    <x v="0"/>
    <s v="STAFF-1507"/>
    <n v="1507"/>
    <x v="1"/>
    <x v="0"/>
    <x v="0"/>
    <s v="No"/>
    <s v="Y"/>
    <n v="5"/>
    <n v="-2"/>
    <n v="0"/>
    <n v="28"/>
    <n v="0"/>
    <m/>
    <n v="0"/>
    <n v="1"/>
    <n v="467"/>
    <n v="7"/>
    <x v="3"/>
    <n v="1"/>
    <n v="3"/>
    <n v="55"/>
    <n v="3"/>
    <n v="2"/>
    <n v="3"/>
    <n v="4898"/>
    <n v="11827"/>
    <n v="0"/>
    <n v="14"/>
    <n v="3"/>
    <n v="4"/>
    <n v="80"/>
    <n v="0"/>
    <n v="5"/>
    <n v="3"/>
    <n v="4"/>
    <n v="2"/>
    <n v="1"/>
    <n v="3"/>
  </r>
  <r>
    <s v="No"/>
    <s v="Travel_Frequently"/>
    <x v="2"/>
    <s v="Current Employees"/>
    <x v="0"/>
    <x v="1"/>
    <s v="STAFF-1613"/>
    <n v="1613"/>
    <x v="1"/>
    <x v="0"/>
    <x v="0"/>
    <s v="No"/>
    <s v="Y"/>
    <n v="3"/>
    <n v="-2"/>
    <n v="0"/>
    <n v="31"/>
    <n v="0"/>
    <m/>
    <n v="0"/>
    <n v="1"/>
    <n v="715"/>
    <n v="2"/>
    <x v="2"/>
    <n v="1"/>
    <n v="4"/>
    <n v="54"/>
    <n v="3"/>
    <n v="2"/>
    <n v="3"/>
    <n v="5332"/>
    <n v="21602"/>
    <n v="7"/>
    <n v="13"/>
    <n v="3"/>
    <n v="4"/>
    <n v="80"/>
    <n v="0"/>
    <n v="10"/>
    <n v="3"/>
    <n v="5"/>
    <n v="2"/>
    <n v="0"/>
    <n v="3"/>
  </r>
  <r>
    <s v="No"/>
    <s v="Travel_Frequently"/>
    <x v="2"/>
    <s v="Current Employees"/>
    <x v="0"/>
    <x v="3"/>
    <s v="STAFF-1853"/>
    <n v="1853"/>
    <x v="1"/>
    <x v="0"/>
    <x v="0"/>
    <s v="No"/>
    <s v="Y"/>
    <n v="2"/>
    <n v="-2"/>
    <n v="0"/>
    <n v="32"/>
    <n v="0"/>
    <m/>
    <n v="0"/>
    <n v="1"/>
    <n v="1318"/>
    <n v="10"/>
    <x v="2"/>
    <n v="1"/>
    <n v="4"/>
    <n v="79"/>
    <n v="3"/>
    <n v="2"/>
    <n v="2"/>
    <n v="4648"/>
    <n v="26075"/>
    <n v="8"/>
    <n v="13"/>
    <n v="3"/>
    <n v="3"/>
    <n v="80"/>
    <n v="0"/>
    <n v="4"/>
    <n v="4"/>
    <n v="0"/>
    <n v="0"/>
    <n v="0"/>
    <n v="0"/>
  </r>
  <r>
    <s v="No"/>
    <s v="Travel_Rarely"/>
    <x v="0"/>
    <s v="Current Employees"/>
    <x v="2"/>
    <x v="1"/>
    <s v="STAFF-1794"/>
    <n v="1794"/>
    <x v="1"/>
    <x v="8"/>
    <x v="2"/>
    <s v="No"/>
    <s v="Y"/>
    <n v="4"/>
    <n v="-2"/>
    <n v="0"/>
    <n v="37"/>
    <n v="0"/>
    <m/>
    <n v="0"/>
    <n v="1"/>
    <n v="1239"/>
    <n v="8"/>
    <x v="0"/>
    <n v="1"/>
    <n v="3"/>
    <n v="89"/>
    <n v="3"/>
    <n v="2"/>
    <n v="2"/>
    <n v="4071"/>
    <n v="12832"/>
    <n v="2"/>
    <n v="13"/>
    <n v="3"/>
    <n v="3"/>
    <n v="80"/>
    <n v="0"/>
    <n v="19"/>
    <n v="2"/>
    <n v="10"/>
    <n v="0"/>
    <n v="4"/>
    <n v="7"/>
  </r>
  <r>
    <s v="No"/>
    <s v="Travel_Rarely"/>
    <x v="2"/>
    <s v="Current Employees"/>
    <x v="2"/>
    <x v="2"/>
    <s v="STAFF-1865"/>
    <n v="1865"/>
    <x v="1"/>
    <x v="8"/>
    <x v="1"/>
    <s v="No"/>
    <s v="Y"/>
    <n v="3"/>
    <n v="-2"/>
    <n v="0"/>
    <n v="29"/>
    <n v="0"/>
    <m/>
    <n v="0"/>
    <n v="1"/>
    <n v="352"/>
    <n v="6"/>
    <x v="1"/>
    <n v="1"/>
    <n v="4"/>
    <n v="87"/>
    <n v="2"/>
    <n v="1"/>
    <n v="2"/>
    <n v="2804"/>
    <n v="15434"/>
    <n v="1"/>
    <n v="11"/>
    <n v="3"/>
    <n v="4"/>
    <n v="80"/>
    <n v="0"/>
    <n v="1"/>
    <n v="3"/>
    <n v="1"/>
    <n v="0"/>
    <n v="0"/>
    <n v="0"/>
  </r>
  <r>
    <s v="No"/>
    <s v="Travel_Rarely"/>
    <x v="2"/>
    <s v="Current Employees"/>
    <x v="2"/>
    <x v="1"/>
    <s v="STAFF-1419"/>
    <n v="1419"/>
    <x v="1"/>
    <x v="8"/>
    <x v="0"/>
    <s v="No"/>
    <s v="Y"/>
    <n v="3"/>
    <n v="-2"/>
    <n v="0"/>
    <n v="29"/>
    <n v="0"/>
    <m/>
    <n v="0"/>
    <n v="1"/>
    <n v="332"/>
    <n v="17"/>
    <x v="3"/>
    <n v="1"/>
    <n v="2"/>
    <n v="51"/>
    <n v="2"/>
    <n v="3"/>
    <n v="3"/>
    <n v="7988"/>
    <n v="9769"/>
    <n v="1"/>
    <n v="13"/>
    <n v="3"/>
    <n v="1"/>
    <n v="80"/>
    <n v="0"/>
    <n v="10"/>
    <n v="2"/>
    <n v="10"/>
    <n v="9"/>
    <n v="0"/>
    <n v="9"/>
  </r>
  <r>
    <s v="No"/>
    <s v="Travel_Rarely"/>
    <x v="0"/>
    <s v="Current Employees"/>
    <x v="2"/>
    <x v="0"/>
    <s v="STAFF-1778"/>
    <n v="1778"/>
    <x v="1"/>
    <x v="8"/>
    <x v="0"/>
    <s v="No"/>
    <s v="Y"/>
    <n v="5"/>
    <n v="-2"/>
    <n v="0"/>
    <n v="43"/>
    <n v="0"/>
    <m/>
    <n v="0"/>
    <n v="1"/>
    <n v="244"/>
    <n v="2"/>
    <x v="3"/>
    <n v="1"/>
    <n v="2"/>
    <n v="97"/>
    <n v="3"/>
    <n v="1"/>
    <n v="4"/>
    <n v="3539"/>
    <n v="5033"/>
    <n v="0"/>
    <n v="13"/>
    <n v="3"/>
    <n v="2"/>
    <n v="80"/>
    <n v="0"/>
    <n v="10"/>
    <n v="3"/>
    <n v="9"/>
    <n v="7"/>
    <n v="1"/>
    <n v="8"/>
  </r>
  <r>
    <s v="No"/>
    <s v="Travel_Rarely"/>
    <x v="3"/>
    <s v="Current Employees"/>
    <x v="1"/>
    <x v="4"/>
    <s v="STAFF-1694"/>
    <n v="1694"/>
    <x v="1"/>
    <x v="1"/>
    <x v="2"/>
    <s v="No"/>
    <s v="Y"/>
    <n v="1"/>
    <n v="-2"/>
    <n v="0"/>
    <n v="55"/>
    <n v="0"/>
    <m/>
    <n v="0"/>
    <n v="1"/>
    <n v="1441"/>
    <n v="22"/>
    <x v="3"/>
    <n v="1"/>
    <n v="4"/>
    <n v="94"/>
    <n v="2"/>
    <n v="1"/>
    <n v="4"/>
    <n v="3537"/>
    <n v="23737"/>
    <n v="5"/>
    <n v="12"/>
    <n v="3"/>
    <n v="4"/>
    <n v="80"/>
    <n v="1"/>
    <n v="8"/>
    <n v="3"/>
    <n v="4"/>
    <n v="2"/>
    <n v="1"/>
    <n v="2"/>
  </r>
  <r>
    <s v="No"/>
    <s v="Travel_Rarely"/>
    <x v="2"/>
    <s v="Current Employees"/>
    <x v="1"/>
    <x v="0"/>
    <s v="STAFF-1506"/>
    <n v="1506"/>
    <x v="1"/>
    <x v="1"/>
    <x v="2"/>
    <s v="No"/>
    <s v="Y"/>
    <n v="2"/>
    <n v="-2"/>
    <n v="0"/>
    <n v="28"/>
    <n v="0"/>
    <m/>
    <n v="0"/>
    <n v="1"/>
    <n v="1423"/>
    <n v="1"/>
    <x v="3"/>
    <n v="1"/>
    <n v="1"/>
    <n v="72"/>
    <n v="2"/>
    <n v="1"/>
    <n v="3"/>
    <n v="1563"/>
    <n v="12530"/>
    <n v="1"/>
    <n v="14"/>
    <n v="3"/>
    <n v="4"/>
    <n v="80"/>
    <n v="1"/>
    <n v="1"/>
    <n v="1"/>
    <n v="1"/>
    <n v="0"/>
    <n v="0"/>
    <n v="0"/>
  </r>
  <r>
    <s v="No"/>
    <s v="Travel_Rarely"/>
    <x v="0"/>
    <s v="Current Employees"/>
    <x v="1"/>
    <x v="0"/>
    <s v="STAFF-1892"/>
    <n v="1892"/>
    <x v="1"/>
    <x v="5"/>
    <x v="2"/>
    <s v="No"/>
    <s v="Y"/>
    <n v="3"/>
    <n v="-2"/>
    <n v="0"/>
    <n v="40"/>
    <n v="0"/>
    <m/>
    <n v="0"/>
    <n v="1"/>
    <n v="1137"/>
    <n v="1"/>
    <x v="2"/>
    <n v="1"/>
    <n v="1"/>
    <n v="98"/>
    <n v="3"/>
    <n v="4"/>
    <n v="3"/>
    <n v="16823"/>
    <n v="18991"/>
    <n v="2"/>
    <n v="11"/>
    <n v="3"/>
    <n v="1"/>
    <n v="80"/>
    <n v="1"/>
    <n v="22"/>
    <n v="3"/>
    <n v="19"/>
    <n v="7"/>
    <n v="11"/>
    <n v="16"/>
  </r>
  <r>
    <s v="No"/>
    <s v="Travel_Rarely"/>
    <x v="2"/>
    <s v="Current Employees"/>
    <x v="1"/>
    <x v="0"/>
    <s v="STAFF-1881"/>
    <n v="1881"/>
    <x v="1"/>
    <x v="2"/>
    <x v="2"/>
    <s v="No"/>
    <s v="Y"/>
    <n v="2"/>
    <n v="-2"/>
    <n v="0"/>
    <n v="31"/>
    <n v="0"/>
    <m/>
    <n v="0"/>
    <n v="1"/>
    <n v="311"/>
    <n v="20"/>
    <x v="3"/>
    <n v="1"/>
    <n v="2"/>
    <n v="89"/>
    <n v="3"/>
    <n v="2"/>
    <n v="3"/>
    <n v="4197"/>
    <n v="18624"/>
    <n v="1"/>
    <n v="11"/>
    <n v="3"/>
    <n v="1"/>
    <n v="80"/>
    <n v="1"/>
    <n v="10"/>
    <n v="3"/>
    <n v="10"/>
    <n v="8"/>
    <n v="0"/>
    <n v="2"/>
  </r>
  <r>
    <s v="No"/>
    <s v="Travel_Rarely"/>
    <x v="0"/>
    <s v="Current Employees"/>
    <x v="1"/>
    <x v="2"/>
    <s v="STAFF-1627"/>
    <n v="1627"/>
    <x v="1"/>
    <x v="2"/>
    <x v="2"/>
    <s v="No"/>
    <s v="Y"/>
    <n v="3"/>
    <n v="-2"/>
    <n v="0"/>
    <n v="39"/>
    <n v="0"/>
    <m/>
    <n v="0"/>
    <n v="1"/>
    <n v="170"/>
    <n v="3"/>
    <x v="0"/>
    <n v="1"/>
    <n v="3"/>
    <n v="76"/>
    <n v="2"/>
    <n v="2"/>
    <n v="3"/>
    <n v="3069"/>
    <n v="10302"/>
    <n v="0"/>
    <n v="15"/>
    <n v="3"/>
    <n v="4"/>
    <n v="80"/>
    <n v="1"/>
    <n v="11"/>
    <n v="3"/>
    <n v="10"/>
    <n v="8"/>
    <n v="0"/>
    <n v="7"/>
  </r>
  <r>
    <s v="No"/>
    <s v="Travel_Rarely"/>
    <x v="0"/>
    <s v="Current Employees"/>
    <x v="1"/>
    <x v="2"/>
    <s v="STAFF-1474"/>
    <n v="1474"/>
    <x v="1"/>
    <x v="1"/>
    <x v="2"/>
    <s v="No"/>
    <s v="Y"/>
    <n v="3"/>
    <n v="-2"/>
    <n v="0"/>
    <n v="40"/>
    <n v="0"/>
    <m/>
    <n v="0"/>
    <n v="1"/>
    <n v="896"/>
    <n v="2"/>
    <x v="3"/>
    <n v="1"/>
    <n v="3"/>
    <n v="68"/>
    <n v="3"/>
    <n v="1"/>
    <n v="3"/>
    <n v="2345"/>
    <n v="8045"/>
    <n v="2"/>
    <n v="14"/>
    <n v="3"/>
    <n v="3"/>
    <n v="80"/>
    <n v="1"/>
    <n v="8"/>
    <n v="4"/>
    <n v="3"/>
    <n v="1"/>
    <n v="1"/>
    <n v="2"/>
  </r>
  <r>
    <s v="No"/>
    <s v="Travel_Rarely"/>
    <x v="1"/>
    <s v="Current Employees"/>
    <x v="1"/>
    <x v="0"/>
    <s v="STAFF-1857"/>
    <n v="1857"/>
    <x v="1"/>
    <x v="3"/>
    <x v="2"/>
    <s v="No"/>
    <s v="Y"/>
    <n v="4"/>
    <n v="-2"/>
    <n v="0"/>
    <n v="46"/>
    <n v="0"/>
    <m/>
    <n v="0"/>
    <n v="1"/>
    <n v="706"/>
    <n v="2"/>
    <x v="0"/>
    <n v="1"/>
    <n v="4"/>
    <n v="82"/>
    <n v="3"/>
    <n v="3"/>
    <n v="4"/>
    <n v="8578"/>
    <n v="19989"/>
    <n v="3"/>
    <n v="14"/>
    <n v="3"/>
    <n v="3"/>
    <n v="80"/>
    <n v="1"/>
    <n v="12"/>
    <n v="2"/>
    <n v="9"/>
    <n v="8"/>
    <n v="4"/>
    <n v="7"/>
  </r>
  <r>
    <s v="No"/>
    <s v="Travel_Rarely"/>
    <x v="0"/>
    <s v="Current Employees"/>
    <x v="1"/>
    <x v="4"/>
    <s v="STAFF-1599"/>
    <n v="1599"/>
    <x v="1"/>
    <x v="2"/>
    <x v="2"/>
    <s v="No"/>
    <s v="Y"/>
    <n v="0"/>
    <n v="-2"/>
    <n v="0"/>
    <n v="43"/>
    <n v="0"/>
    <m/>
    <n v="0"/>
    <n v="1"/>
    <n v="990"/>
    <n v="27"/>
    <x v="3"/>
    <n v="1"/>
    <n v="4"/>
    <n v="87"/>
    <n v="4"/>
    <n v="1"/>
    <n v="4"/>
    <n v="4876"/>
    <n v="5855"/>
    <n v="5"/>
    <n v="12"/>
    <n v="3"/>
    <n v="3"/>
    <n v="80"/>
    <n v="1"/>
    <n v="8"/>
    <n v="3"/>
    <n v="6"/>
    <n v="4"/>
    <n v="0"/>
    <n v="2"/>
  </r>
  <r>
    <s v="No"/>
    <s v="Travel_Rarely"/>
    <x v="0"/>
    <s v="Current Employees"/>
    <x v="1"/>
    <x v="0"/>
    <s v="STAFF-1940"/>
    <n v="1940"/>
    <x v="1"/>
    <x v="1"/>
    <x v="2"/>
    <s v="No"/>
    <s v="Y"/>
    <n v="0"/>
    <n v="-2"/>
    <n v="0"/>
    <n v="38"/>
    <n v="0"/>
    <m/>
    <n v="0"/>
    <n v="1"/>
    <n v="1206"/>
    <n v="9"/>
    <x v="0"/>
    <n v="1"/>
    <n v="2"/>
    <n v="71"/>
    <n v="3"/>
    <n v="1"/>
    <n v="4"/>
    <n v="4771"/>
    <n v="14293"/>
    <n v="2"/>
    <n v="19"/>
    <n v="3"/>
    <n v="4"/>
    <n v="80"/>
    <n v="2"/>
    <n v="10"/>
    <n v="4"/>
    <n v="5"/>
    <n v="2"/>
    <n v="0"/>
    <n v="3"/>
  </r>
  <r>
    <s v="No"/>
    <s v="Travel_Rarely"/>
    <x v="3"/>
    <s v="Current Employees"/>
    <x v="1"/>
    <x v="2"/>
    <s v="STAFF-1424"/>
    <n v="1424"/>
    <x v="1"/>
    <x v="7"/>
    <x v="2"/>
    <s v="No"/>
    <s v="Y"/>
    <n v="4"/>
    <n v="-2"/>
    <n v="0"/>
    <n v="55"/>
    <n v="0"/>
    <m/>
    <n v="0"/>
    <n v="1"/>
    <n v="1136"/>
    <n v="1"/>
    <x v="2"/>
    <n v="1"/>
    <n v="2"/>
    <n v="81"/>
    <n v="4"/>
    <n v="4"/>
    <n v="4"/>
    <n v="14732"/>
    <n v="12414"/>
    <n v="2"/>
    <n v="13"/>
    <n v="3"/>
    <n v="4"/>
    <n v="80"/>
    <n v="2"/>
    <n v="31"/>
    <n v="4"/>
    <n v="7"/>
    <n v="7"/>
    <n v="0"/>
    <n v="0"/>
  </r>
  <r>
    <s v="No"/>
    <s v="Travel_Rarely"/>
    <x v="1"/>
    <s v="Current Employees"/>
    <x v="1"/>
    <x v="0"/>
    <s v="STAFF-1484"/>
    <n v="1484"/>
    <x v="1"/>
    <x v="4"/>
    <x v="2"/>
    <s v="No"/>
    <s v="Y"/>
    <n v="3"/>
    <n v="-2"/>
    <n v="0"/>
    <n v="49"/>
    <n v="0"/>
    <m/>
    <n v="0"/>
    <n v="1"/>
    <n v="1490"/>
    <n v="7"/>
    <x v="2"/>
    <n v="1"/>
    <n v="3"/>
    <n v="35"/>
    <n v="3"/>
    <n v="3"/>
    <n v="2"/>
    <n v="10466"/>
    <n v="20948"/>
    <n v="3"/>
    <n v="14"/>
    <n v="3"/>
    <n v="2"/>
    <n v="80"/>
    <n v="2"/>
    <n v="29"/>
    <n v="3"/>
    <n v="8"/>
    <n v="7"/>
    <n v="0"/>
    <n v="7"/>
  </r>
  <r>
    <s v="No"/>
    <s v="Travel_Rarely"/>
    <x v="2"/>
    <s v="Current Employees"/>
    <x v="1"/>
    <x v="0"/>
    <s v="STAFF-1859"/>
    <n v="1859"/>
    <x v="1"/>
    <x v="4"/>
    <x v="2"/>
    <s v="No"/>
    <s v="Y"/>
    <n v="3"/>
    <n v="-2"/>
    <n v="0"/>
    <n v="29"/>
    <n v="0"/>
    <m/>
    <n v="0"/>
    <n v="1"/>
    <n v="726"/>
    <n v="29"/>
    <x v="1"/>
    <n v="1"/>
    <n v="4"/>
    <n v="93"/>
    <n v="1"/>
    <n v="2"/>
    <n v="3"/>
    <n v="6384"/>
    <n v="21143"/>
    <n v="8"/>
    <n v="17"/>
    <n v="3"/>
    <n v="4"/>
    <n v="80"/>
    <n v="2"/>
    <n v="11"/>
    <n v="3"/>
    <n v="7"/>
    <n v="0"/>
    <n v="1"/>
    <n v="6"/>
  </r>
  <r>
    <s v="No"/>
    <s v="Travel_Rarely"/>
    <x v="2"/>
    <s v="Current Employees"/>
    <x v="1"/>
    <x v="1"/>
    <s v="STAFF-1619"/>
    <n v="1619"/>
    <x v="1"/>
    <x v="2"/>
    <x v="2"/>
    <s v="No"/>
    <s v="Y"/>
    <n v="3"/>
    <n v="-2"/>
    <n v="0"/>
    <n v="27"/>
    <n v="0"/>
    <m/>
    <n v="0"/>
    <n v="1"/>
    <n v="1302"/>
    <n v="19"/>
    <x v="3"/>
    <n v="1"/>
    <n v="4"/>
    <n v="67"/>
    <n v="2"/>
    <n v="1"/>
    <n v="3"/>
    <n v="4066"/>
    <n v="16290"/>
    <n v="1"/>
    <n v="11"/>
    <n v="3"/>
    <n v="1"/>
    <n v="80"/>
    <n v="2"/>
    <n v="7"/>
    <n v="3"/>
    <n v="7"/>
    <n v="7"/>
    <n v="0"/>
    <n v="7"/>
  </r>
  <r>
    <s v="No"/>
    <s v="Travel_Rarely"/>
    <x v="2"/>
    <s v="Current Employees"/>
    <x v="1"/>
    <x v="2"/>
    <s v="STAFF-1671"/>
    <n v="1671"/>
    <x v="1"/>
    <x v="1"/>
    <x v="2"/>
    <s v="No"/>
    <s v="Y"/>
    <n v="4"/>
    <n v="-2"/>
    <n v="0"/>
    <n v="32"/>
    <n v="0"/>
    <m/>
    <n v="0"/>
    <n v="1"/>
    <n v="977"/>
    <n v="2"/>
    <x v="3"/>
    <n v="1"/>
    <n v="4"/>
    <n v="45"/>
    <n v="3"/>
    <n v="2"/>
    <n v="2"/>
    <n v="5470"/>
    <n v="25518"/>
    <n v="0"/>
    <n v="13"/>
    <n v="3"/>
    <n v="3"/>
    <n v="80"/>
    <n v="2"/>
    <n v="10"/>
    <n v="2"/>
    <n v="9"/>
    <n v="5"/>
    <n v="1"/>
    <n v="6"/>
  </r>
  <r>
    <s v="No"/>
    <s v="Travel_Rarely"/>
    <x v="1"/>
    <s v="Current Employees"/>
    <x v="1"/>
    <x v="4"/>
    <s v="STAFF-1553"/>
    <n v="1553"/>
    <x v="1"/>
    <x v="4"/>
    <x v="2"/>
    <s v="No"/>
    <s v="Y"/>
    <n v="4"/>
    <n v="-2"/>
    <n v="0"/>
    <n v="45"/>
    <n v="0"/>
    <m/>
    <n v="0"/>
    <n v="1"/>
    <n v="538"/>
    <n v="1"/>
    <x v="2"/>
    <n v="1"/>
    <n v="4"/>
    <n v="66"/>
    <n v="3"/>
    <n v="3"/>
    <n v="4"/>
    <n v="7441"/>
    <n v="20933"/>
    <n v="1"/>
    <n v="12"/>
    <n v="3"/>
    <n v="1"/>
    <n v="80"/>
    <n v="3"/>
    <n v="10"/>
    <n v="3"/>
    <n v="10"/>
    <n v="8"/>
    <n v="7"/>
    <n v="7"/>
  </r>
  <r>
    <s v="No"/>
    <s v="Travel_Rarely"/>
    <x v="4"/>
    <s v="Current Employees"/>
    <x v="1"/>
    <x v="2"/>
    <s v="STAFF-1725"/>
    <n v="1725"/>
    <x v="1"/>
    <x v="2"/>
    <x v="2"/>
    <s v="No"/>
    <s v="Y"/>
    <n v="2"/>
    <n v="-2"/>
    <n v="0"/>
    <n v="24"/>
    <n v="0"/>
    <m/>
    <n v="0"/>
    <n v="1"/>
    <n v="506"/>
    <n v="29"/>
    <x v="1"/>
    <n v="1"/>
    <n v="2"/>
    <n v="91"/>
    <n v="3"/>
    <n v="1"/>
    <n v="3"/>
    <n v="3907"/>
    <n v="3622"/>
    <n v="1"/>
    <n v="13"/>
    <n v="3"/>
    <n v="2"/>
    <n v="80"/>
    <n v="3"/>
    <n v="6"/>
    <n v="4"/>
    <n v="6"/>
    <n v="2"/>
    <n v="1"/>
    <n v="2"/>
  </r>
  <r>
    <s v="No"/>
    <s v="Travel_Rarely"/>
    <x v="4"/>
    <s v="Current Employees"/>
    <x v="1"/>
    <x v="4"/>
    <s v="STAFF-1551"/>
    <n v="1551"/>
    <x v="1"/>
    <x v="2"/>
    <x v="2"/>
    <s v="No"/>
    <s v="Y"/>
    <n v="3"/>
    <n v="-2"/>
    <n v="0"/>
    <n v="24"/>
    <n v="0"/>
    <m/>
    <n v="0"/>
    <n v="1"/>
    <n v="350"/>
    <n v="21"/>
    <x v="0"/>
    <n v="1"/>
    <n v="4"/>
    <n v="57"/>
    <n v="2"/>
    <n v="1"/>
    <n v="4"/>
    <n v="2296"/>
    <n v="10036"/>
    <n v="0"/>
    <n v="14"/>
    <n v="3"/>
    <n v="2"/>
    <n v="80"/>
    <n v="3"/>
    <n v="2"/>
    <n v="3"/>
    <n v="1"/>
    <n v="1"/>
    <n v="0"/>
    <n v="0"/>
  </r>
  <r>
    <s v="No"/>
    <s v="Travel_Rarely"/>
    <x v="0"/>
    <s v="Current Employees"/>
    <x v="1"/>
    <x v="1"/>
    <s v="STAFF-1871"/>
    <n v="1871"/>
    <x v="1"/>
    <x v="1"/>
    <x v="2"/>
    <s v="No"/>
    <s v="Y"/>
    <n v="2"/>
    <n v="-2"/>
    <n v="0"/>
    <n v="39"/>
    <n v="0"/>
    <m/>
    <n v="0"/>
    <n v="1"/>
    <n v="835"/>
    <n v="19"/>
    <x v="2"/>
    <n v="1"/>
    <n v="4"/>
    <n v="41"/>
    <n v="3"/>
    <n v="2"/>
    <n v="4"/>
    <n v="3902"/>
    <n v="5141"/>
    <n v="8"/>
    <n v="14"/>
    <n v="3"/>
    <n v="2"/>
    <n v="80"/>
    <n v="3"/>
    <n v="7"/>
    <n v="3"/>
    <n v="2"/>
    <n v="2"/>
    <n v="2"/>
    <n v="2"/>
  </r>
  <r>
    <s v="No"/>
    <s v="Travel_Rarely"/>
    <x v="0"/>
    <s v="Current Employees"/>
    <x v="1"/>
    <x v="0"/>
    <s v="STAFF-2031"/>
    <n v="2031"/>
    <x v="1"/>
    <x v="5"/>
    <x v="1"/>
    <s v="No"/>
    <s v="Y"/>
    <n v="2"/>
    <n v="-2"/>
    <n v="0"/>
    <n v="42"/>
    <n v="0"/>
    <m/>
    <n v="0"/>
    <n v="1"/>
    <n v="300"/>
    <n v="2"/>
    <x v="3"/>
    <n v="1"/>
    <n v="1"/>
    <n v="56"/>
    <n v="3"/>
    <n v="5"/>
    <n v="3"/>
    <n v="18880"/>
    <n v="17312"/>
    <n v="5"/>
    <n v="11"/>
    <n v="3"/>
    <n v="1"/>
    <n v="80"/>
    <n v="0"/>
    <n v="24"/>
    <n v="2"/>
    <n v="22"/>
    <n v="6"/>
    <n v="4"/>
    <n v="14"/>
  </r>
  <r>
    <s v="No"/>
    <s v="Travel_Rarely"/>
    <x v="0"/>
    <s v="Current Employees"/>
    <x v="1"/>
    <x v="2"/>
    <s v="STAFF-1543"/>
    <n v="1543"/>
    <x v="1"/>
    <x v="1"/>
    <x v="1"/>
    <s v="No"/>
    <s v="Y"/>
    <n v="2"/>
    <n v="-2"/>
    <n v="0"/>
    <n v="37"/>
    <n v="0"/>
    <m/>
    <n v="0"/>
    <n v="1"/>
    <n v="674"/>
    <n v="13"/>
    <x v="3"/>
    <n v="1"/>
    <n v="1"/>
    <n v="47"/>
    <n v="3"/>
    <n v="2"/>
    <n v="4"/>
    <n v="4285"/>
    <n v="3031"/>
    <n v="1"/>
    <n v="17"/>
    <n v="3"/>
    <n v="1"/>
    <n v="80"/>
    <n v="0"/>
    <n v="10"/>
    <n v="3"/>
    <n v="10"/>
    <n v="8"/>
    <n v="3"/>
    <n v="7"/>
  </r>
  <r>
    <s v="No"/>
    <s v="Travel_Rarely"/>
    <x v="2"/>
    <s v="Current Employees"/>
    <x v="1"/>
    <x v="0"/>
    <s v="STAFF-1434"/>
    <n v="1434"/>
    <x v="1"/>
    <x v="2"/>
    <x v="1"/>
    <s v="No"/>
    <s v="Y"/>
    <n v="3"/>
    <n v="-2"/>
    <n v="0"/>
    <n v="27"/>
    <n v="0"/>
    <m/>
    <n v="0"/>
    <n v="1"/>
    <n v="1377"/>
    <n v="11"/>
    <x v="1"/>
    <n v="1"/>
    <n v="2"/>
    <n v="91"/>
    <n v="3"/>
    <n v="1"/>
    <n v="3"/>
    <n v="2099"/>
    <n v="7679"/>
    <n v="0"/>
    <n v="14"/>
    <n v="3"/>
    <n v="2"/>
    <n v="80"/>
    <n v="0"/>
    <n v="6"/>
    <n v="4"/>
    <n v="5"/>
    <n v="0"/>
    <n v="1"/>
    <n v="4"/>
  </r>
  <r>
    <s v="No"/>
    <s v="Travel_Rarely"/>
    <x v="0"/>
    <s v="Current Employees"/>
    <x v="1"/>
    <x v="0"/>
    <s v="STAFF-1621"/>
    <n v="1621"/>
    <x v="1"/>
    <x v="1"/>
    <x v="1"/>
    <s v="No"/>
    <s v="Y"/>
    <n v="2"/>
    <n v="-2"/>
    <n v="0"/>
    <n v="35"/>
    <n v="0"/>
    <m/>
    <n v="0"/>
    <n v="1"/>
    <n v="819"/>
    <n v="18"/>
    <x v="4"/>
    <n v="1"/>
    <n v="2"/>
    <n v="48"/>
    <n v="4"/>
    <n v="2"/>
    <n v="3"/>
    <n v="5208"/>
    <n v="26312"/>
    <n v="1"/>
    <n v="11"/>
    <n v="3"/>
    <n v="4"/>
    <n v="80"/>
    <n v="0"/>
    <n v="16"/>
    <n v="3"/>
    <n v="16"/>
    <n v="15"/>
    <n v="1"/>
    <n v="10"/>
  </r>
  <r>
    <s v="No"/>
    <s v="Travel_Rarely"/>
    <x v="2"/>
    <s v="Current Employees"/>
    <x v="1"/>
    <x v="2"/>
    <s v="STAFF-2068"/>
    <n v="2068"/>
    <x v="1"/>
    <x v="2"/>
    <x v="1"/>
    <s v="No"/>
    <s v="Y"/>
    <n v="3"/>
    <n v="-2"/>
    <n v="0"/>
    <n v="34"/>
    <n v="0"/>
    <m/>
    <n v="0"/>
    <n v="1"/>
    <n v="628"/>
    <n v="8"/>
    <x v="3"/>
    <n v="1"/>
    <n v="2"/>
    <n v="82"/>
    <n v="4"/>
    <n v="2"/>
    <n v="3"/>
    <n v="4404"/>
    <n v="10228"/>
    <n v="2"/>
    <n v="12"/>
    <n v="3"/>
    <n v="1"/>
    <n v="80"/>
    <n v="0"/>
    <n v="6"/>
    <n v="4"/>
    <n v="4"/>
    <n v="3"/>
    <n v="1"/>
    <n v="2"/>
  </r>
  <r>
    <s v="No"/>
    <s v="Travel_Rarely"/>
    <x v="1"/>
    <s v="Current Employees"/>
    <x v="1"/>
    <x v="2"/>
    <s v="STAFF-1689"/>
    <n v="1689"/>
    <x v="1"/>
    <x v="4"/>
    <x v="1"/>
    <s v="No"/>
    <s v="Y"/>
    <n v="2"/>
    <n v="-2"/>
    <n v="0"/>
    <n v="53"/>
    <n v="0"/>
    <m/>
    <n v="0"/>
    <n v="1"/>
    <n v="1395"/>
    <n v="24"/>
    <x v="2"/>
    <n v="1"/>
    <n v="2"/>
    <n v="48"/>
    <n v="4"/>
    <n v="3"/>
    <n v="4"/>
    <n v="7005"/>
    <n v="3458"/>
    <n v="3"/>
    <n v="15"/>
    <n v="3"/>
    <n v="3"/>
    <n v="80"/>
    <n v="0"/>
    <n v="11"/>
    <n v="3"/>
    <n v="4"/>
    <n v="3"/>
    <n v="1"/>
    <n v="2"/>
  </r>
  <r>
    <s v="No"/>
    <s v="Travel_Rarely"/>
    <x v="1"/>
    <s v="Current Employees"/>
    <x v="1"/>
    <x v="0"/>
    <s v="STAFF-1867"/>
    <n v="1867"/>
    <x v="1"/>
    <x v="7"/>
    <x v="1"/>
    <s v="No"/>
    <s v="Y"/>
    <n v="3"/>
    <n v="-2"/>
    <n v="0"/>
    <n v="48"/>
    <n v="0"/>
    <m/>
    <n v="0"/>
    <n v="1"/>
    <n v="1224"/>
    <n v="10"/>
    <x v="3"/>
    <n v="1"/>
    <n v="4"/>
    <n v="91"/>
    <n v="2"/>
    <n v="5"/>
    <n v="2"/>
    <n v="19665"/>
    <n v="13583"/>
    <n v="4"/>
    <n v="12"/>
    <n v="3"/>
    <n v="4"/>
    <n v="80"/>
    <n v="0"/>
    <n v="29"/>
    <n v="3"/>
    <n v="22"/>
    <n v="10"/>
    <n v="12"/>
    <n v="9"/>
  </r>
  <r>
    <s v="No"/>
    <s v="Travel_Rarely"/>
    <x v="2"/>
    <s v="Current Employees"/>
    <x v="1"/>
    <x v="2"/>
    <s v="STAFF-1989"/>
    <n v="1989"/>
    <x v="1"/>
    <x v="2"/>
    <x v="1"/>
    <s v="No"/>
    <s v="Y"/>
    <n v="6"/>
    <n v="-2"/>
    <n v="0"/>
    <n v="30"/>
    <n v="0"/>
    <m/>
    <n v="0"/>
    <n v="1"/>
    <n v="911"/>
    <n v="1"/>
    <x v="0"/>
    <n v="1"/>
    <n v="4"/>
    <n v="76"/>
    <n v="3"/>
    <n v="1"/>
    <n v="2"/>
    <n v="3748"/>
    <n v="4077"/>
    <n v="1"/>
    <n v="13"/>
    <n v="3"/>
    <n v="3"/>
    <n v="80"/>
    <n v="0"/>
    <n v="12"/>
    <n v="2"/>
    <n v="12"/>
    <n v="8"/>
    <n v="1"/>
    <n v="7"/>
  </r>
  <r>
    <s v="No"/>
    <s v="Travel_Rarely"/>
    <x v="2"/>
    <s v="Current Employees"/>
    <x v="1"/>
    <x v="0"/>
    <s v="STAFF-1954"/>
    <n v="1954"/>
    <x v="1"/>
    <x v="4"/>
    <x v="1"/>
    <s v="No"/>
    <s v="Y"/>
    <n v="5"/>
    <n v="-2"/>
    <n v="0"/>
    <n v="29"/>
    <n v="0"/>
    <m/>
    <n v="0"/>
    <n v="1"/>
    <n v="136"/>
    <n v="1"/>
    <x v="3"/>
    <n v="1"/>
    <n v="1"/>
    <n v="89"/>
    <n v="3"/>
    <n v="2"/>
    <n v="3"/>
    <n v="5373"/>
    <n v="6225"/>
    <n v="0"/>
    <n v="12"/>
    <n v="3"/>
    <n v="1"/>
    <n v="80"/>
    <n v="1"/>
    <n v="6"/>
    <n v="2"/>
    <n v="5"/>
    <n v="3"/>
    <n v="0"/>
    <n v="2"/>
  </r>
  <r>
    <s v="No"/>
    <s v="Travel_Rarely"/>
    <x v="1"/>
    <s v="Current Employees"/>
    <x v="1"/>
    <x v="4"/>
    <s v="STAFF-1473"/>
    <n v="1473"/>
    <x v="1"/>
    <x v="4"/>
    <x v="1"/>
    <s v="No"/>
    <s v="Y"/>
    <n v="0"/>
    <n v="-2"/>
    <n v="0"/>
    <n v="49"/>
    <n v="0"/>
    <m/>
    <n v="0"/>
    <n v="1"/>
    <n v="1495"/>
    <n v="5"/>
    <x v="2"/>
    <n v="1"/>
    <n v="4"/>
    <n v="96"/>
    <n v="3"/>
    <n v="2"/>
    <n v="4"/>
    <n v="6651"/>
    <n v="21534"/>
    <n v="2"/>
    <n v="14"/>
    <n v="3"/>
    <n v="2"/>
    <n v="80"/>
    <n v="1"/>
    <n v="20"/>
    <n v="2"/>
    <n v="3"/>
    <n v="2"/>
    <n v="1"/>
    <n v="2"/>
  </r>
  <r>
    <s v="No"/>
    <s v="Travel_Rarely"/>
    <x v="0"/>
    <s v="Current Employees"/>
    <x v="1"/>
    <x v="0"/>
    <s v="STAFF-1971"/>
    <n v="1971"/>
    <x v="1"/>
    <x v="4"/>
    <x v="1"/>
    <s v="No"/>
    <s v="Y"/>
    <n v="1"/>
    <n v="-2"/>
    <n v="0"/>
    <n v="43"/>
    <n v="0"/>
    <m/>
    <n v="0"/>
    <n v="1"/>
    <n v="574"/>
    <n v="11"/>
    <x v="3"/>
    <n v="1"/>
    <n v="1"/>
    <n v="30"/>
    <n v="3"/>
    <n v="3"/>
    <n v="3"/>
    <n v="7510"/>
    <n v="16873"/>
    <n v="1"/>
    <n v="17"/>
    <n v="3"/>
    <n v="2"/>
    <n v="80"/>
    <n v="1"/>
    <n v="10"/>
    <n v="3"/>
    <n v="10"/>
    <n v="9"/>
    <n v="0"/>
    <n v="9"/>
  </r>
  <r>
    <s v="No"/>
    <s v="Travel_Rarely"/>
    <x v="2"/>
    <s v="Current Employees"/>
    <x v="1"/>
    <x v="4"/>
    <s v="STAFF-1415"/>
    <n v="1415"/>
    <x v="1"/>
    <x v="2"/>
    <x v="1"/>
    <s v="No"/>
    <s v="Y"/>
    <n v="2"/>
    <n v="-2"/>
    <n v="0"/>
    <n v="25"/>
    <n v="0"/>
    <m/>
    <n v="0"/>
    <n v="1"/>
    <n v="949"/>
    <n v="1"/>
    <x v="3"/>
    <n v="1"/>
    <n v="4"/>
    <n v="81"/>
    <n v="3"/>
    <n v="1"/>
    <n v="4"/>
    <n v="3229"/>
    <n v="4910"/>
    <n v="4"/>
    <n v="11"/>
    <n v="3"/>
    <n v="2"/>
    <n v="80"/>
    <n v="1"/>
    <n v="7"/>
    <n v="2"/>
    <n v="3"/>
    <n v="2"/>
    <n v="0"/>
    <n v="2"/>
  </r>
  <r>
    <s v="No"/>
    <s v="Travel_Rarely"/>
    <x v="1"/>
    <s v="Current Employees"/>
    <x v="1"/>
    <x v="4"/>
    <s v="STAFF-1438"/>
    <n v="1438"/>
    <x v="1"/>
    <x v="1"/>
    <x v="1"/>
    <s v="No"/>
    <s v="Y"/>
    <n v="2"/>
    <n v="-2"/>
    <n v="0"/>
    <n v="47"/>
    <n v="0"/>
    <m/>
    <n v="0"/>
    <n v="1"/>
    <n v="465"/>
    <n v="1"/>
    <x v="3"/>
    <n v="1"/>
    <n v="4"/>
    <n v="74"/>
    <n v="3"/>
    <n v="1"/>
    <n v="4"/>
    <n v="3420"/>
    <n v="10205"/>
    <n v="7"/>
    <n v="12"/>
    <n v="3"/>
    <n v="3"/>
    <n v="80"/>
    <n v="1"/>
    <n v="17"/>
    <n v="2"/>
    <n v="6"/>
    <n v="5"/>
    <n v="1"/>
    <n v="2"/>
  </r>
  <r>
    <s v="No"/>
    <s v="Travel_Rarely"/>
    <x v="0"/>
    <s v="Current Employees"/>
    <x v="1"/>
    <x v="2"/>
    <s v="STAFF-1826"/>
    <n v="1826"/>
    <x v="1"/>
    <x v="2"/>
    <x v="1"/>
    <s v="No"/>
    <s v="Y"/>
    <n v="2"/>
    <n v="-2"/>
    <n v="0"/>
    <n v="35"/>
    <n v="0"/>
    <m/>
    <n v="0"/>
    <n v="1"/>
    <n v="185"/>
    <n v="23"/>
    <x v="2"/>
    <n v="1"/>
    <n v="2"/>
    <n v="91"/>
    <n v="1"/>
    <n v="1"/>
    <n v="3"/>
    <n v="2705"/>
    <n v="9696"/>
    <n v="0"/>
    <n v="16"/>
    <n v="3"/>
    <n v="2"/>
    <n v="80"/>
    <n v="1"/>
    <n v="6"/>
    <n v="4"/>
    <n v="5"/>
    <n v="4"/>
    <n v="0"/>
    <n v="3"/>
  </r>
  <r>
    <s v="No"/>
    <s v="Travel_Rarely"/>
    <x v="2"/>
    <s v="Current Employees"/>
    <x v="1"/>
    <x v="2"/>
    <s v="STAFF-1609"/>
    <n v="1609"/>
    <x v="1"/>
    <x v="1"/>
    <x v="1"/>
    <s v="No"/>
    <s v="Y"/>
    <n v="3"/>
    <n v="-2"/>
    <n v="0"/>
    <n v="30"/>
    <n v="0"/>
    <m/>
    <n v="0"/>
    <n v="1"/>
    <n v="241"/>
    <n v="7"/>
    <x v="3"/>
    <n v="1"/>
    <n v="2"/>
    <n v="48"/>
    <n v="2"/>
    <n v="1"/>
    <n v="2"/>
    <n v="2141"/>
    <n v="5348"/>
    <n v="1"/>
    <n v="12"/>
    <n v="3"/>
    <n v="2"/>
    <n v="80"/>
    <n v="1"/>
    <n v="6"/>
    <n v="2"/>
    <n v="6"/>
    <n v="4"/>
    <n v="1"/>
    <n v="1"/>
  </r>
  <r>
    <s v="No"/>
    <s v="Travel_Rarely"/>
    <x v="2"/>
    <s v="Current Employees"/>
    <x v="1"/>
    <x v="2"/>
    <s v="STAFF-1696"/>
    <n v="1696"/>
    <x v="1"/>
    <x v="2"/>
    <x v="1"/>
    <s v="No"/>
    <s v="Y"/>
    <n v="3"/>
    <n v="-2"/>
    <n v="0"/>
    <n v="34"/>
    <n v="0"/>
    <m/>
    <n v="0"/>
    <n v="1"/>
    <n v="1157"/>
    <n v="5"/>
    <x v="0"/>
    <n v="1"/>
    <n v="2"/>
    <n v="57"/>
    <n v="2"/>
    <n v="2"/>
    <n v="4"/>
    <n v="3986"/>
    <n v="11912"/>
    <n v="1"/>
    <n v="14"/>
    <n v="3"/>
    <n v="3"/>
    <n v="80"/>
    <n v="1"/>
    <n v="15"/>
    <n v="4"/>
    <n v="15"/>
    <n v="10"/>
    <n v="4"/>
    <n v="13"/>
  </r>
  <r>
    <s v="No"/>
    <s v="Travel_Rarely"/>
    <x v="2"/>
    <s v="Current Employees"/>
    <x v="1"/>
    <x v="4"/>
    <s v="STAFF-1931"/>
    <n v="1931"/>
    <x v="1"/>
    <x v="1"/>
    <x v="1"/>
    <s v="No"/>
    <s v="Y"/>
    <n v="3"/>
    <n v="-2"/>
    <n v="0"/>
    <n v="27"/>
    <n v="0"/>
    <m/>
    <n v="0"/>
    <n v="1"/>
    <n v="1354"/>
    <n v="2"/>
    <x v="2"/>
    <n v="1"/>
    <n v="4"/>
    <n v="41"/>
    <n v="3"/>
    <n v="1"/>
    <n v="4"/>
    <n v="2226"/>
    <n v="6073"/>
    <n v="1"/>
    <n v="11"/>
    <n v="3"/>
    <n v="3"/>
    <n v="80"/>
    <n v="1"/>
    <n v="6"/>
    <n v="2"/>
    <n v="5"/>
    <n v="3"/>
    <n v="1"/>
    <n v="2"/>
  </r>
  <r>
    <s v="No"/>
    <s v="Travel_Rarely"/>
    <x v="2"/>
    <s v="Current Employees"/>
    <x v="1"/>
    <x v="0"/>
    <s v="STAFF-1721"/>
    <n v="1721"/>
    <x v="1"/>
    <x v="2"/>
    <x v="1"/>
    <s v="No"/>
    <s v="Y"/>
    <n v="2"/>
    <n v="-2"/>
    <n v="0"/>
    <n v="31"/>
    <n v="0"/>
    <m/>
    <n v="0"/>
    <n v="1"/>
    <n v="741"/>
    <n v="2"/>
    <x v="2"/>
    <n v="1"/>
    <n v="2"/>
    <n v="69"/>
    <n v="3"/>
    <n v="1"/>
    <n v="3"/>
    <n v="3477"/>
    <n v="18103"/>
    <n v="1"/>
    <n v="14"/>
    <n v="3"/>
    <n v="4"/>
    <n v="80"/>
    <n v="1"/>
    <n v="6"/>
    <n v="4"/>
    <n v="5"/>
    <n v="2"/>
    <n v="0"/>
    <n v="3"/>
  </r>
  <r>
    <s v="No"/>
    <s v="Travel_Rarely"/>
    <x v="2"/>
    <s v="Current Employees"/>
    <x v="1"/>
    <x v="0"/>
    <s v="STAFF-1729"/>
    <n v="1729"/>
    <x v="1"/>
    <x v="1"/>
    <x v="1"/>
    <s v="No"/>
    <s v="Y"/>
    <n v="2"/>
    <n v="-2"/>
    <n v="0"/>
    <n v="30"/>
    <n v="0"/>
    <m/>
    <n v="0"/>
    <n v="1"/>
    <n v="793"/>
    <n v="16"/>
    <x v="1"/>
    <n v="1"/>
    <n v="2"/>
    <n v="33"/>
    <n v="3"/>
    <n v="1"/>
    <n v="4"/>
    <n v="2862"/>
    <n v="3811"/>
    <n v="1"/>
    <n v="12"/>
    <n v="3"/>
    <n v="2"/>
    <n v="80"/>
    <n v="1"/>
    <n v="10"/>
    <n v="2"/>
    <n v="10"/>
    <n v="0"/>
    <n v="0"/>
    <n v="8"/>
  </r>
  <r>
    <s v="No"/>
    <s v="Travel_Rarely"/>
    <x v="2"/>
    <s v="Current Employees"/>
    <x v="1"/>
    <x v="0"/>
    <s v="STAFF-1580"/>
    <n v="1580"/>
    <x v="1"/>
    <x v="1"/>
    <x v="1"/>
    <s v="No"/>
    <s v="Y"/>
    <n v="3"/>
    <n v="-2"/>
    <n v="0"/>
    <n v="34"/>
    <n v="0"/>
    <m/>
    <n v="0"/>
    <n v="1"/>
    <n v="1351"/>
    <n v="1"/>
    <x v="2"/>
    <n v="1"/>
    <n v="2"/>
    <n v="45"/>
    <n v="3"/>
    <n v="2"/>
    <n v="4"/>
    <n v="5484"/>
    <n v="13008"/>
    <n v="9"/>
    <n v="17"/>
    <n v="3"/>
    <n v="2"/>
    <n v="80"/>
    <n v="1"/>
    <n v="9"/>
    <n v="2"/>
    <n v="2"/>
    <n v="2"/>
    <n v="2"/>
    <n v="1"/>
  </r>
  <r>
    <s v="No"/>
    <s v="Travel_Rarely"/>
    <x v="0"/>
    <s v="Current Employees"/>
    <x v="1"/>
    <x v="0"/>
    <s v="STAFF-1903"/>
    <n v="1903"/>
    <x v="1"/>
    <x v="4"/>
    <x v="1"/>
    <s v="No"/>
    <s v="Y"/>
    <n v="5"/>
    <n v="-2"/>
    <n v="0"/>
    <n v="44"/>
    <n v="0"/>
    <m/>
    <n v="0"/>
    <n v="1"/>
    <n v="170"/>
    <n v="1"/>
    <x v="2"/>
    <n v="1"/>
    <n v="2"/>
    <n v="78"/>
    <n v="4"/>
    <n v="2"/>
    <n v="3"/>
    <n v="5033"/>
    <n v="9364"/>
    <n v="2"/>
    <n v="15"/>
    <n v="3"/>
    <n v="4"/>
    <n v="80"/>
    <n v="1"/>
    <n v="10"/>
    <n v="3"/>
    <n v="2"/>
    <n v="0"/>
    <n v="2"/>
    <n v="2"/>
  </r>
  <r>
    <s v="No"/>
    <s v="Travel_Rarely"/>
    <x v="0"/>
    <s v="Current Employees"/>
    <x v="1"/>
    <x v="2"/>
    <s v="STAFF-1542"/>
    <n v="1542"/>
    <x v="1"/>
    <x v="2"/>
    <x v="1"/>
    <s v="No"/>
    <s v="Y"/>
    <n v="3"/>
    <n v="-2"/>
    <n v="0"/>
    <n v="42"/>
    <n v="0"/>
    <m/>
    <n v="0"/>
    <n v="1"/>
    <n v="1210"/>
    <n v="2"/>
    <x v="3"/>
    <n v="1"/>
    <n v="3"/>
    <n v="68"/>
    <n v="2"/>
    <n v="1"/>
    <n v="2"/>
    <n v="4841"/>
    <n v="24052"/>
    <n v="4"/>
    <n v="14"/>
    <n v="3"/>
    <n v="2"/>
    <n v="80"/>
    <n v="1"/>
    <n v="4"/>
    <n v="3"/>
    <n v="1"/>
    <n v="0"/>
    <n v="0"/>
    <n v="0"/>
  </r>
  <r>
    <s v="No"/>
    <s v="Travel_Rarely"/>
    <x v="0"/>
    <s v="Current Employees"/>
    <x v="1"/>
    <x v="0"/>
    <s v="STAFF-1601"/>
    <n v="1601"/>
    <x v="1"/>
    <x v="2"/>
    <x v="1"/>
    <s v="No"/>
    <s v="Y"/>
    <n v="5"/>
    <n v="-2"/>
    <n v="0"/>
    <n v="35"/>
    <n v="0"/>
    <m/>
    <n v="0"/>
    <n v="1"/>
    <n v="1349"/>
    <n v="7"/>
    <x v="0"/>
    <n v="1"/>
    <n v="3"/>
    <n v="63"/>
    <n v="2"/>
    <n v="1"/>
    <n v="4"/>
    <n v="2690"/>
    <n v="7713"/>
    <n v="1"/>
    <n v="18"/>
    <n v="3"/>
    <n v="4"/>
    <n v="80"/>
    <n v="1"/>
    <n v="1"/>
    <n v="2"/>
    <n v="1"/>
    <n v="0"/>
    <n v="0"/>
    <n v="1"/>
  </r>
  <r>
    <s v="No"/>
    <s v="Travel_Rarely"/>
    <x v="0"/>
    <s v="Current Employees"/>
    <x v="1"/>
    <x v="2"/>
    <s v="STAFF-1911"/>
    <n v="1911"/>
    <x v="1"/>
    <x v="7"/>
    <x v="1"/>
    <s v="No"/>
    <s v="Y"/>
    <n v="3"/>
    <n v="-2"/>
    <n v="0"/>
    <n v="42"/>
    <n v="0"/>
    <m/>
    <n v="0"/>
    <n v="1"/>
    <n v="1396"/>
    <n v="6"/>
    <x v="3"/>
    <n v="1"/>
    <n v="3"/>
    <n v="83"/>
    <n v="3"/>
    <n v="3"/>
    <n v="3"/>
    <n v="13348"/>
    <n v="14842"/>
    <n v="9"/>
    <n v="13"/>
    <n v="3"/>
    <n v="2"/>
    <n v="80"/>
    <n v="1"/>
    <n v="18"/>
    <n v="4"/>
    <n v="13"/>
    <n v="7"/>
    <n v="5"/>
    <n v="7"/>
  </r>
  <r>
    <s v="No"/>
    <s v="Travel_Rarely"/>
    <x v="2"/>
    <s v="Current Employees"/>
    <x v="1"/>
    <x v="0"/>
    <s v="STAFF-1799"/>
    <n v="1799"/>
    <x v="1"/>
    <x v="1"/>
    <x v="1"/>
    <s v="No"/>
    <s v="Y"/>
    <n v="6"/>
    <n v="-2"/>
    <n v="0"/>
    <n v="28"/>
    <n v="0"/>
    <m/>
    <n v="0"/>
    <n v="1"/>
    <n v="1181"/>
    <n v="1"/>
    <x v="3"/>
    <n v="1"/>
    <n v="3"/>
    <n v="82"/>
    <n v="3"/>
    <n v="1"/>
    <n v="4"/>
    <n v="2044"/>
    <n v="5531"/>
    <n v="1"/>
    <n v="11"/>
    <n v="3"/>
    <n v="3"/>
    <n v="80"/>
    <n v="1"/>
    <n v="5"/>
    <n v="4"/>
    <n v="5"/>
    <n v="3"/>
    <n v="0"/>
    <n v="3"/>
  </r>
  <r>
    <s v="No"/>
    <s v="Travel_Rarely"/>
    <x v="2"/>
    <s v="Current Employees"/>
    <x v="1"/>
    <x v="0"/>
    <s v="STAFF-1763"/>
    <n v="1763"/>
    <x v="1"/>
    <x v="4"/>
    <x v="1"/>
    <s v="No"/>
    <s v="Y"/>
    <n v="3"/>
    <n v="-2"/>
    <n v="0"/>
    <n v="30"/>
    <n v="0"/>
    <m/>
    <n v="0"/>
    <n v="1"/>
    <n v="305"/>
    <n v="16"/>
    <x v="3"/>
    <n v="1"/>
    <n v="3"/>
    <n v="58"/>
    <n v="4"/>
    <n v="2"/>
    <n v="3"/>
    <n v="5294"/>
    <n v="9128"/>
    <n v="3"/>
    <n v="16"/>
    <n v="3"/>
    <n v="3"/>
    <n v="80"/>
    <n v="1"/>
    <n v="10"/>
    <n v="3"/>
    <n v="7"/>
    <n v="0"/>
    <n v="1"/>
    <n v="7"/>
  </r>
  <r>
    <s v="No"/>
    <s v="Travel_Rarely"/>
    <x v="4"/>
    <s v="Current Employees"/>
    <x v="1"/>
    <x v="2"/>
    <s v="STAFF-1707"/>
    <n v="1707"/>
    <x v="1"/>
    <x v="1"/>
    <x v="1"/>
    <s v="No"/>
    <s v="Y"/>
    <n v="1"/>
    <n v="-2"/>
    <n v="0"/>
    <n v="24"/>
    <n v="0"/>
    <m/>
    <n v="0"/>
    <n v="1"/>
    <n v="581"/>
    <n v="9"/>
    <x v="3"/>
    <n v="1"/>
    <n v="3"/>
    <n v="62"/>
    <n v="4"/>
    <n v="1"/>
    <n v="3"/>
    <n v="4401"/>
    <n v="17616"/>
    <n v="1"/>
    <n v="16"/>
    <n v="3"/>
    <n v="4"/>
    <n v="80"/>
    <n v="1"/>
    <n v="5"/>
    <n v="3"/>
    <n v="5"/>
    <n v="3"/>
    <n v="0"/>
    <n v="4"/>
  </r>
  <r>
    <s v="No"/>
    <s v="Travel_Rarely"/>
    <x v="0"/>
    <s v="Current Employees"/>
    <x v="1"/>
    <x v="2"/>
    <s v="STAFF-2062"/>
    <n v="2062"/>
    <x v="1"/>
    <x v="4"/>
    <x v="1"/>
    <s v="No"/>
    <s v="Y"/>
    <n v="5"/>
    <n v="-2"/>
    <n v="0"/>
    <n v="39"/>
    <n v="0"/>
    <m/>
    <n v="0"/>
    <n v="1"/>
    <n v="613"/>
    <n v="6"/>
    <x v="1"/>
    <n v="1"/>
    <n v="4"/>
    <n v="42"/>
    <n v="2"/>
    <n v="3"/>
    <n v="3"/>
    <n v="9991"/>
    <n v="21457"/>
    <n v="4"/>
    <n v="15"/>
    <n v="3"/>
    <n v="1"/>
    <n v="80"/>
    <n v="1"/>
    <n v="9"/>
    <n v="3"/>
    <n v="7"/>
    <n v="7"/>
    <n v="1"/>
    <n v="7"/>
  </r>
  <r>
    <s v="No"/>
    <s v="Travel_Rarely"/>
    <x v="0"/>
    <s v="Current Employees"/>
    <x v="1"/>
    <x v="0"/>
    <s v="STAFF-1523"/>
    <n v="1523"/>
    <x v="1"/>
    <x v="7"/>
    <x v="1"/>
    <s v="No"/>
    <s v="Y"/>
    <n v="1"/>
    <n v="-2"/>
    <n v="0"/>
    <n v="44"/>
    <n v="0"/>
    <m/>
    <n v="0"/>
    <n v="1"/>
    <n v="136"/>
    <n v="28"/>
    <x v="3"/>
    <n v="1"/>
    <n v="4"/>
    <n v="32"/>
    <n v="3"/>
    <n v="4"/>
    <n v="3"/>
    <n v="16328"/>
    <n v="22074"/>
    <n v="3"/>
    <n v="13"/>
    <n v="3"/>
    <n v="3"/>
    <n v="80"/>
    <n v="1"/>
    <n v="24"/>
    <n v="4"/>
    <n v="20"/>
    <n v="6"/>
    <n v="14"/>
    <n v="17"/>
  </r>
  <r>
    <s v="No"/>
    <s v="Travel_Rarely"/>
    <x v="0"/>
    <s v="Current Employees"/>
    <x v="1"/>
    <x v="0"/>
    <s v="STAFF-1728"/>
    <n v="1728"/>
    <x v="1"/>
    <x v="3"/>
    <x v="1"/>
    <s v="No"/>
    <s v="Y"/>
    <n v="3"/>
    <n v="-2"/>
    <n v="0"/>
    <n v="35"/>
    <n v="0"/>
    <m/>
    <n v="0"/>
    <n v="1"/>
    <n v="1370"/>
    <n v="27"/>
    <x v="2"/>
    <n v="1"/>
    <n v="4"/>
    <n v="49"/>
    <n v="3"/>
    <n v="2"/>
    <n v="3"/>
    <n v="6883"/>
    <n v="5151"/>
    <n v="2"/>
    <n v="16"/>
    <n v="3"/>
    <n v="2"/>
    <n v="80"/>
    <n v="1"/>
    <n v="17"/>
    <n v="3"/>
    <n v="7"/>
    <n v="7"/>
    <n v="0"/>
    <n v="7"/>
  </r>
  <r>
    <s v="No"/>
    <s v="Travel_Rarely"/>
    <x v="2"/>
    <s v="Current Employees"/>
    <x v="1"/>
    <x v="0"/>
    <s v="STAFF-1798"/>
    <n v="1798"/>
    <x v="1"/>
    <x v="1"/>
    <x v="1"/>
    <s v="No"/>
    <s v="Y"/>
    <n v="1"/>
    <n v="-2"/>
    <n v="0"/>
    <n v="33"/>
    <n v="0"/>
    <m/>
    <n v="0"/>
    <n v="1"/>
    <n v="867"/>
    <n v="8"/>
    <x v="2"/>
    <n v="1"/>
    <n v="4"/>
    <n v="90"/>
    <n v="4"/>
    <n v="1"/>
    <n v="3"/>
    <n v="3143"/>
    <n v="6076"/>
    <n v="6"/>
    <n v="19"/>
    <n v="3"/>
    <n v="2"/>
    <n v="80"/>
    <n v="1"/>
    <n v="14"/>
    <n v="3"/>
    <n v="10"/>
    <n v="8"/>
    <n v="7"/>
    <n v="6"/>
  </r>
  <r>
    <s v="No"/>
    <s v="Travel_Rarely"/>
    <x v="4"/>
    <s v="Current Employees"/>
    <x v="1"/>
    <x v="4"/>
    <s v="STAFF-1592"/>
    <n v="1592"/>
    <x v="1"/>
    <x v="1"/>
    <x v="1"/>
    <s v="No"/>
    <s v="Y"/>
    <n v="2"/>
    <n v="-2"/>
    <n v="0"/>
    <n v="23"/>
    <n v="0"/>
    <m/>
    <n v="0"/>
    <n v="1"/>
    <n v="977"/>
    <n v="10"/>
    <x v="3"/>
    <n v="1"/>
    <n v="4"/>
    <n v="45"/>
    <n v="4"/>
    <n v="1"/>
    <n v="4"/>
    <n v="2073"/>
    <n v="12826"/>
    <n v="2"/>
    <n v="16"/>
    <n v="3"/>
    <n v="4"/>
    <n v="80"/>
    <n v="1"/>
    <n v="4"/>
    <n v="3"/>
    <n v="2"/>
    <n v="2"/>
    <n v="2"/>
    <n v="2"/>
  </r>
  <r>
    <s v="No"/>
    <s v="Travel_Rarely"/>
    <x v="0"/>
    <s v="Current Employees"/>
    <x v="1"/>
    <x v="0"/>
    <s v="STAFF-1682"/>
    <n v="1682"/>
    <x v="1"/>
    <x v="4"/>
    <x v="1"/>
    <s v="No"/>
    <s v="Y"/>
    <n v="2"/>
    <n v="-2"/>
    <n v="0"/>
    <n v="36"/>
    <n v="0"/>
    <m/>
    <n v="0"/>
    <n v="1"/>
    <n v="1351"/>
    <n v="26"/>
    <x v="2"/>
    <n v="1"/>
    <n v="1"/>
    <n v="80"/>
    <n v="3"/>
    <n v="2"/>
    <n v="3"/>
    <n v="5347"/>
    <n v="7419"/>
    <n v="6"/>
    <n v="14"/>
    <n v="3"/>
    <n v="2"/>
    <n v="80"/>
    <n v="2"/>
    <n v="10"/>
    <n v="2"/>
    <n v="3"/>
    <n v="2"/>
    <n v="0"/>
    <n v="2"/>
  </r>
  <r>
    <s v="No"/>
    <s v="Travel_Rarely"/>
    <x v="0"/>
    <s v="Current Employees"/>
    <x v="1"/>
    <x v="0"/>
    <s v="STAFF-2012"/>
    <n v="2012"/>
    <x v="1"/>
    <x v="2"/>
    <x v="1"/>
    <s v="No"/>
    <s v="Y"/>
    <n v="3"/>
    <n v="-2"/>
    <n v="0"/>
    <n v="40"/>
    <n v="0"/>
    <m/>
    <n v="0"/>
    <n v="1"/>
    <n v="543"/>
    <n v="1"/>
    <x v="2"/>
    <n v="1"/>
    <n v="1"/>
    <n v="83"/>
    <n v="3"/>
    <n v="1"/>
    <n v="4"/>
    <n v="2406"/>
    <n v="4060"/>
    <n v="8"/>
    <n v="19"/>
    <n v="3"/>
    <n v="3"/>
    <n v="80"/>
    <n v="2"/>
    <n v="8"/>
    <n v="2"/>
    <n v="1"/>
    <n v="0"/>
    <n v="0"/>
    <n v="0"/>
  </r>
  <r>
    <s v="No"/>
    <s v="Travel_Rarely"/>
    <x v="0"/>
    <s v="Current Employees"/>
    <x v="1"/>
    <x v="2"/>
    <s v="STAFF-1803"/>
    <n v="1803"/>
    <x v="1"/>
    <x v="4"/>
    <x v="1"/>
    <s v="No"/>
    <s v="Y"/>
    <n v="2"/>
    <n v="-2"/>
    <n v="0"/>
    <n v="42"/>
    <n v="0"/>
    <m/>
    <n v="0"/>
    <n v="1"/>
    <n v="1128"/>
    <n v="13"/>
    <x v="3"/>
    <n v="1"/>
    <n v="2"/>
    <n v="95"/>
    <n v="4"/>
    <n v="2"/>
    <n v="3"/>
    <n v="5538"/>
    <n v="5696"/>
    <n v="5"/>
    <n v="18"/>
    <n v="3"/>
    <n v="3"/>
    <n v="80"/>
    <n v="2"/>
    <n v="10"/>
    <n v="2"/>
    <n v="0"/>
    <n v="0"/>
    <n v="0"/>
    <n v="0"/>
  </r>
  <r>
    <s v="No"/>
    <s v="Travel_Rarely"/>
    <x v="0"/>
    <s v="Current Employees"/>
    <x v="1"/>
    <x v="0"/>
    <s v="STAFF-1596"/>
    <n v="1596"/>
    <x v="1"/>
    <x v="2"/>
    <x v="1"/>
    <s v="No"/>
    <s v="Y"/>
    <n v="3"/>
    <n v="-2"/>
    <n v="0"/>
    <n v="35"/>
    <n v="0"/>
    <m/>
    <n v="0"/>
    <n v="1"/>
    <n v="750"/>
    <n v="28"/>
    <x v="3"/>
    <n v="1"/>
    <n v="2"/>
    <n v="46"/>
    <n v="4"/>
    <n v="2"/>
    <n v="3"/>
    <n v="3407"/>
    <n v="25348"/>
    <n v="1"/>
    <n v="17"/>
    <n v="3"/>
    <n v="4"/>
    <n v="80"/>
    <n v="2"/>
    <n v="10"/>
    <n v="2"/>
    <n v="10"/>
    <n v="9"/>
    <n v="6"/>
    <n v="8"/>
  </r>
  <r>
    <s v="No"/>
    <s v="Travel_Rarely"/>
    <x v="2"/>
    <s v="Current Employees"/>
    <x v="1"/>
    <x v="0"/>
    <s v="STAFF-1514"/>
    <n v="1514"/>
    <x v="1"/>
    <x v="3"/>
    <x v="1"/>
    <s v="No"/>
    <s v="Y"/>
    <n v="2"/>
    <n v="-2"/>
    <n v="0"/>
    <n v="28"/>
    <n v="0"/>
    <m/>
    <n v="0"/>
    <n v="1"/>
    <n v="1083"/>
    <n v="29"/>
    <x v="1"/>
    <n v="1"/>
    <n v="3"/>
    <n v="96"/>
    <n v="1"/>
    <n v="2"/>
    <n v="2"/>
    <n v="6549"/>
    <n v="3173"/>
    <n v="1"/>
    <n v="14"/>
    <n v="3"/>
    <n v="2"/>
    <n v="80"/>
    <n v="2"/>
    <n v="8"/>
    <n v="2"/>
    <n v="8"/>
    <n v="6"/>
    <n v="1"/>
    <n v="7"/>
  </r>
  <r>
    <s v="No"/>
    <s v="Travel_Rarely"/>
    <x v="2"/>
    <s v="Current Employees"/>
    <x v="1"/>
    <x v="0"/>
    <s v="STAFF-1558"/>
    <n v="1558"/>
    <x v="1"/>
    <x v="1"/>
    <x v="1"/>
    <s v="No"/>
    <s v="Y"/>
    <n v="2"/>
    <n v="-2"/>
    <n v="0"/>
    <n v="29"/>
    <n v="0"/>
    <m/>
    <n v="0"/>
    <n v="1"/>
    <n v="598"/>
    <n v="9"/>
    <x v="3"/>
    <n v="1"/>
    <n v="3"/>
    <n v="91"/>
    <n v="4"/>
    <n v="1"/>
    <n v="3"/>
    <n v="2451"/>
    <n v="22376"/>
    <n v="6"/>
    <n v="18"/>
    <n v="3"/>
    <n v="1"/>
    <n v="80"/>
    <n v="2"/>
    <n v="5"/>
    <n v="2"/>
    <n v="1"/>
    <n v="0"/>
    <n v="0"/>
    <n v="0"/>
  </r>
  <r>
    <s v="No"/>
    <s v="Travel_Rarely"/>
    <x v="0"/>
    <s v="Current Employees"/>
    <x v="1"/>
    <x v="2"/>
    <s v="STAFF-1618"/>
    <n v="1618"/>
    <x v="1"/>
    <x v="3"/>
    <x v="1"/>
    <s v="No"/>
    <s v="Y"/>
    <n v="3"/>
    <n v="-2"/>
    <n v="0"/>
    <n v="39"/>
    <n v="0"/>
    <m/>
    <n v="0"/>
    <n v="1"/>
    <n v="1387"/>
    <n v="10"/>
    <x v="4"/>
    <n v="1"/>
    <n v="2"/>
    <n v="76"/>
    <n v="3"/>
    <n v="2"/>
    <n v="1"/>
    <n v="5377"/>
    <n v="3835"/>
    <n v="2"/>
    <n v="13"/>
    <n v="3"/>
    <n v="4"/>
    <n v="80"/>
    <n v="3"/>
    <n v="10"/>
    <n v="3"/>
    <n v="7"/>
    <n v="7"/>
    <n v="7"/>
    <n v="7"/>
  </r>
  <r>
    <s v="No"/>
    <s v="Travel_Rarely"/>
    <x v="2"/>
    <s v="Current Employees"/>
    <x v="1"/>
    <x v="2"/>
    <s v="STAFF-1698"/>
    <n v="1698"/>
    <x v="1"/>
    <x v="2"/>
    <x v="1"/>
    <s v="No"/>
    <s v="Y"/>
    <n v="6"/>
    <n v="-2"/>
    <n v="0"/>
    <n v="33"/>
    <n v="0"/>
    <m/>
    <n v="0"/>
    <n v="1"/>
    <n v="267"/>
    <n v="21"/>
    <x v="3"/>
    <n v="1"/>
    <n v="2"/>
    <n v="79"/>
    <n v="4"/>
    <n v="1"/>
    <n v="2"/>
    <n v="2028"/>
    <n v="13637"/>
    <n v="1"/>
    <n v="18"/>
    <n v="3"/>
    <n v="4"/>
    <n v="80"/>
    <n v="3"/>
    <n v="14"/>
    <n v="3"/>
    <n v="14"/>
    <n v="11"/>
    <n v="2"/>
    <n v="13"/>
  </r>
  <r>
    <s v="No"/>
    <s v="Travel_Rarely"/>
    <x v="3"/>
    <s v="Current Employees"/>
    <x v="1"/>
    <x v="2"/>
    <s v="STAFF-1770"/>
    <n v="1770"/>
    <x v="1"/>
    <x v="7"/>
    <x v="1"/>
    <s v="No"/>
    <s v="Y"/>
    <n v="2"/>
    <n v="-2"/>
    <n v="0"/>
    <n v="55"/>
    <n v="0"/>
    <m/>
    <n v="0"/>
    <n v="1"/>
    <n v="478"/>
    <n v="2"/>
    <x v="3"/>
    <n v="1"/>
    <n v="3"/>
    <n v="60"/>
    <n v="2"/>
    <n v="5"/>
    <n v="1"/>
    <n v="19038"/>
    <n v="19805"/>
    <n v="8"/>
    <n v="12"/>
    <n v="3"/>
    <n v="2"/>
    <n v="80"/>
    <n v="3"/>
    <n v="34"/>
    <n v="3"/>
    <n v="1"/>
    <n v="0"/>
    <n v="0"/>
    <n v="0"/>
  </r>
  <r>
    <s v="No"/>
    <s v="Travel_Rarely"/>
    <x v="0"/>
    <s v="Current Employees"/>
    <x v="1"/>
    <x v="0"/>
    <s v="STAFF-1631"/>
    <n v="1631"/>
    <x v="1"/>
    <x v="3"/>
    <x v="1"/>
    <s v="No"/>
    <s v="Y"/>
    <n v="2"/>
    <n v="-2"/>
    <n v="0"/>
    <n v="37"/>
    <n v="0"/>
    <m/>
    <n v="0"/>
    <n v="1"/>
    <n v="671"/>
    <n v="19"/>
    <x v="3"/>
    <n v="1"/>
    <n v="3"/>
    <n v="85"/>
    <n v="3"/>
    <n v="2"/>
    <n v="3"/>
    <n v="5768"/>
    <n v="26493"/>
    <n v="3"/>
    <n v="17"/>
    <n v="3"/>
    <n v="1"/>
    <n v="80"/>
    <n v="3"/>
    <n v="9"/>
    <n v="2"/>
    <n v="4"/>
    <n v="3"/>
    <n v="0"/>
    <n v="2"/>
  </r>
  <r>
    <s v="No"/>
    <s v="Travel_Rarely"/>
    <x v="2"/>
    <s v="Current Employees"/>
    <x v="1"/>
    <x v="2"/>
    <s v="STAFF-1718"/>
    <n v="1718"/>
    <x v="1"/>
    <x v="2"/>
    <x v="1"/>
    <s v="No"/>
    <s v="Y"/>
    <n v="3"/>
    <n v="-2"/>
    <n v="0"/>
    <n v="26"/>
    <n v="0"/>
    <m/>
    <n v="0"/>
    <n v="1"/>
    <n v="390"/>
    <n v="17"/>
    <x v="2"/>
    <n v="1"/>
    <n v="4"/>
    <n v="62"/>
    <n v="1"/>
    <n v="1"/>
    <n v="3"/>
    <n v="2305"/>
    <n v="6217"/>
    <n v="1"/>
    <n v="15"/>
    <n v="3"/>
    <n v="3"/>
    <n v="80"/>
    <n v="3"/>
    <n v="3"/>
    <n v="4"/>
    <n v="3"/>
    <n v="2"/>
    <n v="0"/>
    <n v="2"/>
  </r>
  <r>
    <s v="No"/>
    <s v="Travel_Rarely"/>
    <x v="0"/>
    <s v="Current Employees"/>
    <x v="1"/>
    <x v="0"/>
    <s v="STAFF-1435"/>
    <n v="1435"/>
    <x v="1"/>
    <x v="2"/>
    <x v="0"/>
    <s v="No"/>
    <s v="Y"/>
    <n v="2"/>
    <n v="-2"/>
    <n v="0"/>
    <n v="36"/>
    <n v="0"/>
    <m/>
    <n v="0"/>
    <n v="1"/>
    <n v="172"/>
    <n v="4"/>
    <x v="2"/>
    <n v="1"/>
    <n v="1"/>
    <n v="37"/>
    <n v="2"/>
    <n v="2"/>
    <n v="4"/>
    <n v="5810"/>
    <n v="22604"/>
    <n v="1"/>
    <n v="16"/>
    <n v="3"/>
    <n v="3"/>
    <n v="80"/>
    <n v="0"/>
    <n v="10"/>
    <n v="2"/>
    <n v="10"/>
    <n v="4"/>
    <n v="1"/>
    <n v="8"/>
  </r>
  <r>
    <s v="No"/>
    <s v="Travel_Rarely"/>
    <x v="0"/>
    <s v="Current Employees"/>
    <x v="1"/>
    <x v="0"/>
    <s v="STAFF-1659"/>
    <n v="1659"/>
    <x v="1"/>
    <x v="2"/>
    <x v="0"/>
    <s v="No"/>
    <s v="Y"/>
    <n v="4"/>
    <n v="-2"/>
    <n v="0"/>
    <n v="36"/>
    <n v="0"/>
    <m/>
    <n v="0"/>
    <n v="1"/>
    <n v="311"/>
    <n v="7"/>
    <x v="3"/>
    <n v="1"/>
    <n v="1"/>
    <n v="77"/>
    <n v="3"/>
    <n v="1"/>
    <n v="2"/>
    <n v="2013"/>
    <n v="10950"/>
    <n v="2"/>
    <n v="11"/>
    <n v="3"/>
    <n v="3"/>
    <n v="80"/>
    <n v="0"/>
    <n v="15"/>
    <n v="3"/>
    <n v="4"/>
    <n v="3"/>
    <n v="1"/>
    <n v="3"/>
  </r>
  <r>
    <s v="No"/>
    <s v="Travel_Rarely"/>
    <x v="4"/>
    <s v="Current Employees"/>
    <x v="1"/>
    <x v="0"/>
    <s v="STAFF-1533"/>
    <n v="1533"/>
    <x v="1"/>
    <x v="2"/>
    <x v="0"/>
    <s v="No"/>
    <s v="Y"/>
    <n v="2"/>
    <n v="-2"/>
    <n v="0"/>
    <n v="23"/>
    <n v="0"/>
    <m/>
    <n v="0"/>
    <n v="1"/>
    <n v="507"/>
    <n v="20"/>
    <x v="1"/>
    <n v="1"/>
    <n v="1"/>
    <n v="97"/>
    <n v="3"/>
    <n v="2"/>
    <n v="3"/>
    <n v="2272"/>
    <n v="24812"/>
    <n v="0"/>
    <n v="14"/>
    <n v="3"/>
    <n v="2"/>
    <n v="80"/>
    <n v="0"/>
    <n v="5"/>
    <n v="3"/>
    <n v="4"/>
    <n v="3"/>
    <n v="1"/>
    <n v="2"/>
  </r>
  <r>
    <s v="No"/>
    <s v="Travel_Rarely"/>
    <x v="2"/>
    <s v="Current Employees"/>
    <x v="1"/>
    <x v="2"/>
    <s v="STAFF-1577"/>
    <n v="1577"/>
    <x v="1"/>
    <x v="1"/>
    <x v="0"/>
    <s v="No"/>
    <s v="Y"/>
    <n v="4"/>
    <n v="-2"/>
    <n v="0"/>
    <n v="34"/>
    <n v="0"/>
    <m/>
    <n v="0"/>
    <n v="1"/>
    <n v="479"/>
    <n v="7"/>
    <x v="2"/>
    <n v="1"/>
    <n v="1"/>
    <n v="35"/>
    <n v="3"/>
    <n v="1"/>
    <n v="4"/>
    <n v="2972"/>
    <n v="22061"/>
    <n v="1"/>
    <n v="13"/>
    <n v="3"/>
    <n v="3"/>
    <n v="80"/>
    <n v="0"/>
    <n v="1"/>
    <n v="1"/>
    <n v="1"/>
    <n v="0"/>
    <n v="0"/>
    <n v="0"/>
  </r>
  <r>
    <s v="No"/>
    <s v="Travel_Rarely"/>
    <x v="0"/>
    <s v="Current Employees"/>
    <x v="1"/>
    <x v="0"/>
    <s v="STAFF-2014"/>
    <n v="2014"/>
    <x v="1"/>
    <x v="1"/>
    <x v="0"/>
    <s v="No"/>
    <s v="Y"/>
    <n v="2"/>
    <n v="-2"/>
    <n v="0"/>
    <n v="39"/>
    <n v="0"/>
    <m/>
    <n v="0"/>
    <n v="1"/>
    <n v="116"/>
    <n v="24"/>
    <x v="1"/>
    <n v="1"/>
    <n v="1"/>
    <n v="52"/>
    <n v="3"/>
    <n v="2"/>
    <n v="4"/>
    <n v="4108"/>
    <n v="5340"/>
    <n v="7"/>
    <n v="13"/>
    <n v="3"/>
    <n v="1"/>
    <n v="80"/>
    <n v="0"/>
    <n v="18"/>
    <n v="3"/>
    <n v="7"/>
    <n v="7"/>
    <n v="1"/>
    <n v="7"/>
  </r>
  <r>
    <s v="No"/>
    <s v="Travel_Rarely"/>
    <x v="4"/>
    <s v="Current Employees"/>
    <x v="1"/>
    <x v="0"/>
    <s v="STAFF-1981"/>
    <n v="1981"/>
    <x v="1"/>
    <x v="4"/>
    <x v="0"/>
    <s v="No"/>
    <s v="Y"/>
    <n v="2"/>
    <n v="-2"/>
    <n v="0"/>
    <n v="24"/>
    <n v="0"/>
    <m/>
    <n v="0"/>
    <n v="1"/>
    <n v="771"/>
    <n v="1"/>
    <x v="0"/>
    <n v="1"/>
    <n v="2"/>
    <n v="45"/>
    <n v="2"/>
    <n v="2"/>
    <n v="3"/>
    <n v="4617"/>
    <n v="14120"/>
    <n v="1"/>
    <n v="12"/>
    <n v="3"/>
    <n v="2"/>
    <n v="80"/>
    <n v="0"/>
    <n v="4"/>
    <n v="2"/>
    <n v="4"/>
    <n v="3"/>
    <n v="1"/>
    <n v="2"/>
  </r>
  <r>
    <s v="No"/>
    <s v="Travel_Rarely"/>
    <x v="0"/>
    <s v="Current Employees"/>
    <x v="1"/>
    <x v="2"/>
    <s v="STAFF-2008"/>
    <n v="2008"/>
    <x v="1"/>
    <x v="1"/>
    <x v="0"/>
    <s v="No"/>
    <s v="Y"/>
    <n v="5"/>
    <n v="-2"/>
    <n v="0"/>
    <n v="35"/>
    <n v="0"/>
    <m/>
    <n v="0"/>
    <n v="1"/>
    <n v="1395"/>
    <n v="9"/>
    <x v="2"/>
    <n v="1"/>
    <n v="2"/>
    <n v="48"/>
    <n v="3"/>
    <n v="2"/>
    <n v="3"/>
    <n v="5098"/>
    <n v="18698"/>
    <n v="1"/>
    <n v="19"/>
    <n v="3"/>
    <n v="2"/>
    <n v="80"/>
    <n v="0"/>
    <n v="10"/>
    <n v="3"/>
    <n v="10"/>
    <n v="7"/>
    <n v="0"/>
    <n v="8"/>
  </r>
  <r>
    <s v="No"/>
    <s v="Travel_Rarely"/>
    <x v="0"/>
    <s v="Current Employees"/>
    <x v="1"/>
    <x v="0"/>
    <s v="STAFF-1814"/>
    <n v="1814"/>
    <x v="1"/>
    <x v="4"/>
    <x v="0"/>
    <s v="No"/>
    <s v="Y"/>
    <n v="3"/>
    <n v="-2"/>
    <n v="0"/>
    <n v="41"/>
    <n v="0"/>
    <m/>
    <n v="0"/>
    <n v="1"/>
    <n v="447"/>
    <n v="5"/>
    <x v="3"/>
    <n v="1"/>
    <n v="2"/>
    <n v="85"/>
    <n v="4"/>
    <n v="2"/>
    <n v="2"/>
    <n v="6870"/>
    <n v="15530"/>
    <n v="3"/>
    <n v="12"/>
    <n v="3"/>
    <n v="1"/>
    <n v="80"/>
    <n v="0"/>
    <n v="11"/>
    <n v="1"/>
    <n v="3"/>
    <n v="2"/>
    <n v="1"/>
    <n v="2"/>
  </r>
  <r>
    <s v="No"/>
    <s v="Travel_Rarely"/>
    <x v="0"/>
    <s v="Current Employees"/>
    <x v="1"/>
    <x v="0"/>
    <s v="STAFF-2048"/>
    <n v="2048"/>
    <x v="1"/>
    <x v="1"/>
    <x v="0"/>
    <s v="No"/>
    <s v="Y"/>
    <n v="2"/>
    <n v="-2"/>
    <n v="0"/>
    <n v="40"/>
    <n v="0"/>
    <m/>
    <n v="0"/>
    <n v="1"/>
    <n v="1322"/>
    <n v="2"/>
    <x v="2"/>
    <n v="1"/>
    <n v="3"/>
    <n v="52"/>
    <n v="2"/>
    <n v="1"/>
    <n v="3"/>
    <n v="2809"/>
    <n v="2725"/>
    <n v="2"/>
    <n v="14"/>
    <n v="3"/>
    <n v="4"/>
    <n v="80"/>
    <n v="0"/>
    <n v="8"/>
    <n v="3"/>
    <n v="2"/>
    <n v="2"/>
    <n v="2"/>
    <n v="2"/>
  </r>
  <r>
    <s v="No"/>
    <s v="Travel_Rarely"/>
    <x v="2"/>
    <s v="Current Employees"/>
    <x v="1"/>
    <x v="2"/>
    <s v="STAFF-1952"/>
    <n v="1952"/>
    <x v="1"/>
    <x v="2"/>
    <x v="0"/>
    <s v="No"/>
    <s v="Y"/>
    <n v="6"/>
    <n v="-2"/>
    <n v="0"/>
    <n v="26"/>
    <n v="0"/>
    <m/>
    <n v="0"/>
    <n v="1"/>
    <n v="157"/>
    <n v="1"/>
    <x v="3"/>
    <n v="1"/>
    <n v="3"/>
    <n v="95"/>
    <n v="3"/>
    <n v="1"/>
    <n v="1"/>
    <n v="2867"/>
    <n v="20006"/>
    <n v="0"/>
    <n v="13"/>
    <n v="3"/>
    <n v="4"/>
    <n v="80"/>
    <n v="0"/>
    <n v="8"/>
    <n v="2"/>
    <n v="7"/>
    <n v="7"/>
    <n v="7"/>
    <n v="6"/>
  </r>
  <r>
    <s v="No"/>
    <s v="Travel_Rarely"/>
    <x v="1"/>
    <s v="Current Employees"/>
    <x v="1"/>
    <x v="0"/>
    <s v="STAFF-1727"/>
    <n v="1727"/>
    <x v="1"/>
    <x v="4"/>
    <x v="0"/>
    <s v="No"/>
    <s v="Y"/>
    <n v="3"/>
    <n v="-2"/>
    <n v="0"/>
    <n v="46"/>
    <n v="0"/>
    <m/>
    <n v="0"/>
    <n v="1"/>
    <n v="717"/>
    <n v="13"/>
    <x v="2"/>
    <n v="1"/>
    <n v="3"/>
    <n v="34"/>
    <n v="3"/>
    <n v="2"/>
    <n v="2"/>
    <n v="5562"/>
    <n v="9697"/>
    <n v="6"/>
    <n v="14"/>
    <n v="3"/>
    <n v="4"/>
    <n v="80"/>
    <n v="0"/>
    <n v="19"/>
    <n v="3"/>
    <n v="10"/>
    <n v="7"/>
    <n v="0"/>
    <n v="9"/>
  </r>
  <r>
    <s v="No"/>
    <s v="Travel_Rarely"/>
    <x v="1"/>
    <s v="Current Employees"/>
    <x v="1"/>
    <x v="0"/>
    <s v="STAFF-1677"/>
    <n v="1677"/>
    <x v="1"/>
    <x v="5"/>
    <x v="0"/>
    <s v="No"/>
    <s v="Y"/>
    <n v="2"/>
    <n v="-2"/>
    <n v="0"/>
    <n v="49"/>
    <n v="0"/>
    <m/>
    <n v="0"/>
    <n v="1"/>
    <n v="809"/>
    <n v="1"/>
    <x v="3"/>
    <n v="1"/>
    <n v="3"/>
    <n v="36"/>
    <n v="3"/>
    <n v="4"/>
    <n v="3"/>
    <n v="15379"/>
    <n v="22384"/>
    <n v="4"/>
    <n v="14"/>
    <n v="3"/>
    <n v="1"/>
    <n v="80"/>
    <n v="0"/>
    <n v="23"/>
    <n v="3"/>
    <n v="8"/>
    <n v="7"/>
    <n v="0"/>
    <n v="0"/>
  </r>
  <r>
    <s v="No"/>
    <s v="Travel_Rarely"/>
    <x v="4"/>
    <s v="Current Employees"/>
    <x v="1"/>
    <x v="2"/>
    <s v="STAFF-1623"/>
    <n v="1623"/>
    <x v="1"/>
    <x v="1"/>
    <x v="0"/>
    <s v="No"/>
    <s v="Y"/>
    <n v="2"/>
    <n v="-2"/>
    <n v="0"/>
    <n v="21"/>
    <n v="0"/>
    <m/>
    <n v="0"/>
    <n v="1"/>
    <n v="546"/>
    <n v="5"/>
    <x v="1"/>
    <n v="1"/>
    <n v="3"/>
    <n v="97"/>
    <n v="3"/>
    <n v="1"/>
    <n v="4"/>
    <n v="3117"/>
    <n v="26009"/>
    <n v="1"/>
    <n v="18"/>
    <n v="3"/>
    <n v="3"/>
    <n v="80"/>
    <n v="0"/>
    <n v="3"/>
    <n v="3"/>
    <n v="2"/>
    <n v="2"/>
    <n v="2"/>
    <n v="2"/>
  </r>
  <r>
    <s v="No"/>
    <s v="Travel_Rarely"/>
    <x v="2"/>
    <s v="Current Employees"/>
    <x v="1"/>
    <x v="1"/>
    <s v="STAFF-1417"/>
    <n v="1417"/>
    <x v="1"/>
    <x v="2"/>
    <x v="0"/>
    <s v="No"/>
    <s v="Y"/>
    <n v="2"/>
    <n v="-2"/>
    <n v="0"/>
    <n v="26"/>
    <n v="0"/>
    <m/>
    <n v="0"/>
    <n v="1"/>
    <n v="652"/>
    <n v="7"/>
    <x v="3"/>
    <n v="1"/>
    <n v="3"/>
    <n v="100"/>
    <n v="4"/>
    <n v="1"/>
    <n v="1"/>
    <n v="3578"/>
    <n v="23577"/>
    <n v="0"/>
    <n v="12"/>
    <n v="3"/>
    <n v="4"/>
    <n v="80"/>
    <n v="0"/>
    <n v="8"/>
    <n v="3"/>
    <n v="7"/>
    <n v="7"/>
    <n v="0"/>
    <n v="7"/>
  </r>
  <r>
    <s v="No"/>
    <s v="Travel_Rarely"/>
    <x v="0"/>
    <s v="Current Employees"/>
    <x v="1"/>
    <x v="2"/>
    <s v="STAFF-1564"/>
    <n v="1564"/>
    <x v="1"/>
    <x v="2"/>
    <x v="0"/>
    <s v="No"/>
    <s v="Y"/>
    <n v="3"/>
    <n v="-2"/>
    <n v="0"/>
    <n v="35"/>
    <n v="0"/>
    <m/>
    <n v="0"/>
    <n v="1"/>
    <n v="992"/>
    <n v="1"/>
    <x v="3"/>
    <n v="1"/>
    <n v="4"/>
    <n v="68"/>
    <n v="2"/>
    <n v="1"/>
    <n v="1"/>
    <n v="2450"/>
    <n v="21731"/>
    <n v="1"/>
    <n v="19"/>
    <n v="3"/>
    <n v="2"/>
    <n v="80"/>
    <n v="0"/>
    <n v="3"/>
    <n v="3"/>
    <n v="3"/>
    <n v="0"/>
    <n v="1"/>
    <n v="2"/>
  </r>
  <r>
    <s v="No"/>
    <s v="Travel_Rarely"/>
    <x v="2"/>
    <s v="Current Employees"/>
    <x v="1"/>
    <x v="0"/>
    <s v="STAFF-1545"/>
    <n v="1545"/>
    <x v="1"/>
    <x v="3"/>
    <x v="0"/>
    <s v="No"/>
    <s v="Y"/>
    <n v="2"/>
    <n v="-2"/>
    <n v="0"/>
    <n v="33"/>
    <n v="0"/>
    <m/>
    <n v="0"/>
    <n v="1"/>
    <n v="575"/>
    <n v="25"/>
    <x v="3"/>
    <n v="1"/>
    <n v="4"/>
    <n v="44"/>
    <n v="2"/>
    <n v="2"/>
    <n v="2"/>
    <n v="4320"/>
    <n v="24152"/>
    <n v="1"/>
    <n v="13"/>
    <n v="3"/>
    <n v="4"/>
    <n v="80"/>
    <n v="0"/>
    <n v="5"/>
    <n v="3"/>
    <n v="5"/>
    <n v="3"/>
    <n v="0"/>
    <n v="2"/>
  </r>
  <r>
    <s v="No"/>
    <s v="Travel_Rarely"/>
    <x v="2"/>
    <s v="Current Employees"/>
    <x v="1"/>
    <x v="0"/>
    <s v="STAFF-1883"/>
    <n v="1883"/>
    <x v="1"/>
    <x v="2"/>
    <x v="0"/>
    <s v="No"/>
    <s v="Y"/>
    <n v="2"/>
    <n v="-2"/>
    <n v="0"/>
    <n v="29"/>
    <n v="0"/>
    <m/>
    <n v="0"/>
    <n v="1"/>
    <n v="592"/>
    <n v="7"/>
    <x v="3"/>
    <n v="1"/>
    <n v="4"/>
    <n v="59"/>
    <n v="3"/>
    <n v="1"/>
    <n v="1"/>
    <n v="2062"/>
    <n v="19384"/>
    <n v="3"/>
    <n v="14"/>
    <n v="3"/>
    <n v="2"/>
    <n v="80"/>
    <n v="0"/>
    <n v="11"/>
    <n v="3"/>
    <n v="3"/>
    <n v="2"/>
    <n v="1"/>
    <n v="2"/>
  </r>
  <r>
    <s v="No"/>
    <s v="Travel_Rarely"/>
    <x v="2"/>
    <s v="Current Employees"/>
    <x v="1"/>
    <x v="4"/>
    <s v="STAFF-2038"/>
    <n v="2038"/>
    <x v="1"/>
    <x v="1"/>
    <x v="0"/>
    <s v="No"/>
    <s v="Y"/>
    <n v="4"/>
    <n v="-2"/>
    <n v="0"/>
    <n v="32"/>
    <n v="0"/>
    <m/>
    <n v="0"/>
    <n v="1"/>
    <n v="529"/>
    <n v="2"/>
    <x v="3"/>
    <n v="1"/>
    <n v="4"/>
    <n v="78"/>
    <n v="3"/>
    <n v="1"/>
    <n v="4"/>
    <n v="2439"/>
    <n v="11288"/>
    <n v="1"/>
    <n v="14"/>
    <n v="3"/>
    <n v="4"/>
    <n v="80"/>
    <n v="0"/>
    <n v="4"/>
    <n v="3"/>
    <n v="4"/>
    <n v="2"/>
    <n v="1"/>
    <n v="2"/>
  </r>
  <r>
    <s v="No"/>
    <s v="Travel_Rarely"/>
    <x v="0"/>
    <s v="Current Employees"/>
    <x v="1"/>
    <x v="0"/>
    <s v="STAFF-1475"/>
    <n v="1475"/>
    <x v="1"/>
    <x v="1"/>
    <x v="0"/>
    <s v="No"/>
    <s v="Y"/>
    <n v="3"/>
    <n v="-2"/>
    <n v="0"/>
    <n v="44"/>
    <n v="0"/>
    <m/>
    <n v="0"/>
    <n v="1"/>
    <n v="1467"/>
    <n v="20"/>
    <x v="3"/>
    <n v="1"/>
    <n v="4"/>
    <n v="49"/>
    <n v="3"/>
    <n v="1"/>
    <n v="2"/>
    <n v="3420"/>
    <n v="21158"/>
    <n v="1"/>
    <n v="13"/>
    <n v="3"/>
    <n v="3"/>
    <n v="80"/>
    <n v="0"/>
    <n v="6"/>
    <n v="2"/>
    <n v="5"/>
    <n v="2"/>
    <n v="1"/>
    <n v="3"/>
  </r>
  <r>
    <s v="No"/>
    <s v="Travel_Rarely"/>
    <x v="0"/>
    <s v="Current Employees"/>
    <x v="1"/>
    <x v="0"/>
    <s v="STAFF-1860"/>
    <n v="1860"/>
    <x v="1"/>
    <x v="2"/>
    <x v="0"/>
    <s v="No"/>
    <s v="Y"/>
    <n v="3"/>
    <n v="-2"/>
    <n v="0"/>
    <n v="42"/>
    <n v="0"/>
    <m/>
    <n v="0"/>
    <n v="1"/>
    <n v="1142"/>
    <n v="8"/>
    <x v="3"/>
    <n v="1"/>
    <n v="4"/>
    <n v="81"/>
    <n v="3"/>
    <n v="1"/>
    <n v="3"/>
    <n v="3968"/>
    <n v="13624"/>
    <n v="4"/>
    <n v="13"/>
    <n v="3"/>
    <n v="4"/>
    <n v="80"/>
    <n v="0"/>
    <n v="8"/>
    <n v="3"/>
    <n v="0"/>
    <n v="0"/>
    <n v="0"/>
    <n v="0"/>
  </r>
  <r>
    <s v="No"/>
    <s v="Travel_Rarely"/>
    <x v="4"/>
    <s v="Current Employees"/>
    <x v="1"/>
    <x v="0"/>
    <s v="STAFF-2007"/>
    <n v="2007"/>
    <x v="1"/>
    <x v="1"/>
    <x v="0"/>
    <s v="No"/>
    <s v="Y"/>
    <n v="2"/>
    <n v="-2"/>
    <n v="0"/>
    <n v="22"/>
    <n v="0"/>
    <m/>
    <n v="0"/>
    <n v="1"/>
    <n v="581"/>
    <n v="1"/>
    <x v="0"/>
    <n v="1"/>
    <n v="4"/>
    <n v="63"/>
    <n v="3"/>
    <n v="1"/>
    <n v="3"/>
    <n v="3375"/>
    <n v="17624"/>
    <n v="0"/>
    <n v="12"/>
    <n v="3"/>
    <n v="4"/>
    <n v="80"/>
    <n v="0"/>
    <n v="4"/>
    <n v="4"/>
    <n v="3"/>
    <n v="2"/>
    <n v="1"/>
    <n v="2"/>
  </r>
  <r>
    <s v="No"/>
    <s v="Travel_Rarely"/>
    <x v="4"/>
    <s v="Current Employees"/>
    <x v="1"/>
    <x v="1"/>
    <s v="STAFF-1982"/>
    <n v="1982"/>
    <x v="1"/>
    <x v="2"/>
    <x v="0"/>
    <s v="No"/>
    <s v="Y"/>
    <n v="6"/>
    <n v="-2"/>
    <n v="0"/>
    <n v="23"/>
    <n v="0"/>
    <m/>
    <n v="0"/>
    <n v="1"/>
    <n v="571"/>
    <n v="12"/>
    <x v="0"/>
    <n v="1"/>
    <n v="4"/>
    <n v="78"/>
    <n v="3"/>
    <n v="1"/>
    <n v="4"/>
    <n v="2647"/>
    <n v="13672"/>
    <n v="1"/>
    <n v="13"/>
    <n v="3"/>
    <n v="3"/>
    <n v="80"/>
    <n v="0"/>
    <n v="5"/>
    <n v="4"/>
    <n v="5"/>
    <n v="2"/>
    <n v="1"/>
    <n v="4"/>
  </r>
  <r>
    <s v="No"/>
    <s v="Travel_Rarely"/>
    <x v="1"/>
    <s v="Current Employees"/>
    <x v="1"/>
    <x v="2"/>
    <s v="STAFF-1472"/>
    <n v="1472"/>
    <x v="1"/>
    <x v="7"/>
    <x v="0"/>
    <s v="No"/>
    <s v="Y"/>
    <n v="2"/>
    <n v="-2"/>
    <n v="0"/>
    <n v="53"/>
    <n v="0"/>
    <m/>
    <n v="0"/>
    <n v="1"/>
    <n v="447"/>
    <n v="2"/>
    <x v="3"/>
    <n v="1"/>
    <n v="4"/>
    <n v="39"/>
    <n v="4"/>
    <n v="4"/>
    <n v="2"/>
    <n v="16598"/>
    <n v="19764"/>
    <n v="4"/>
    <n v="12"/>
    <n v="3"/>
    <n v="2"/>
    <n v="80"/>
    <n v="0"/>
    <n v="35"/>
    <n v="2"/>
    <n v="9"/>
    <n v="8"/>
    <n v="8"/>
    <n v="8"/>
  </r>
  <r>
    <s v="No"/>
    <s v="Travel_Rarely"/>
    <x v="2"/>
    <s v="Current Employees"/>
    <x v="0"/>
    <x v="0"/>
    <s v="STAFF-1453"/>
    <n v="1453"/>
    <x v="1"/>
    <x v="0"/>
    <x v="2"/>
    <s v="No"/>
    <s v="Y"/>
    <n v="5"/>
    <n v="-2"/>
    <n v="0"/>
    <n v="31"/>
    <n v="0"/>
    <m/>
    <n v="0"/>
    <n v="1"/>
    <n v="326"/>
    <n v="8"/>
    <x v="0"/>
    <n v="1"/>
    <n v="1"/>
    <n v="31"/>
    <n v="3"/>
    <n v="3"/>
    <n v="4"/>
    <n v="10793"/>
    <n v="8386"/>
    <n v="1"/>
    <n v="18"/>
    <n v="3"/>
    <n v="1"/>
    <n v="80"/>
    <n v="1"/>
    <n v="13"/>
    <n v="3"/>
    <n v="13"/>
    <n v="7"/>
    <n v="9"/>
    <n v="9"/>
  </r>
  <r>
    <s v="No"/>
    <s v="Travel_Rarely"/>
    <x v="2"/>
    <s v="Current Employees"/>
    <x v="0"/>
    <x v="3"/>
    <s v="STAFF-1754"/>
    <n v="1754"/>
    <x v="1"/>
    <x v="0"/>
    <x v="2"/>
    <s v="No"/>
    <s v="Y"/>
    <n v="2"/>
    <n v="-2"/>
    <n v="0"/>
    <n v="30"/>
    <n v="0"/>
    <m/>
    <n v="0"/>
    <n v="1"/>
    <n v="979"/>
    <n v="15"/>
    <x v="0"/>
    <n v="1"/>
    <n v="3"/>
    <n v="94"/>
    <n v="2"/>
    <n v="3"/>
    <n v="2"/>
    <n v="7140"/>
    <n v="3088"/>
    <n v="2"/>
    <n v="11"/>
    <n v="3"/>
    <n v="1"/>
    <n v="80"/>
    <n v="1"/>
    <n v="12"/>
    <n v="3"/>
    <n v="7"/>
    <n v="7"/>
    <n v="1"/>
    <n v="7"/>
  </r>
  <r>
    <s v="No"/>
    <s v="Travel_Rarely"/>
    <x v="0"/>
    <s v="Current Employees"/>
    <x v="0"/>
    <x v="0"/>
    <s v="STAFF-2037"/>
    <n v="2037"/>
    <x v="1"/>
    <x v="0"/>
    <x v="2"/>
    <s v="No"/>
    <s v="Y"/>
    <n v="5"/>
    <n v="-2"/>
    <n v="0"/>
    <n v="41"/>
    <n v="0"/>
    <m/>
    <n v="0"/>
    <n v="1"/>
    <n v="930"/>
    <n v="3"/>
    <x v="3"/>
    <n v="1"/>
    <n v="3"/>
    <n v="57"/>
    <n v="2"/>
    <n v="2"/>
    <n v="2"/>
    <n v="8938"/>
    <n v="12227"/>
    <n v="2"/>
    <n v="11"/>
    <n v="3"/>
    <n v="3"/>
    <n v="80"/>
    <n v="1"/>
    <n v="14"/>
    <n v="3"/>
    <n v="5"/>
    <n v="4"/>
    <n v="0"/>
    <n v="4"/>
  </r>
  <r>
    <s v="No"/>
    <s v="Travel_Rarely"/>
    <x v="2"/>
    <s v="Current Employees"/>
    <x v="0"/>
    <x v="2"/>
    <s v="STAFF-1951"/>
    <n v="1951"/>
    <x v="1"/>
    <x v="0"/>
    <x v="2"/>
    <s v="No"/>
    <s v="Y"/>
    <n v="2"/>
    <n v="-2"/>
    <n v="0"/>
    <n v="34"/>
    <n v="0"/>
    <m/>
    <n v="0"/>
    <n v="1"/>
    <n v="1239"/>
    <n v="13"/>
    <x v="2"/>
    <n v="1"/>
    <n v="4"/>
    <n v="39"/>
    <n v="3"/>
    <n v="3"/>
    <n v="3"/>
    <n v="8628"/>
    <n v="22914"/>
    <n v="1"/>
    <n v="18"/>
    <n v="3"/>
    <n v="3"/>
    <n v="80"/>
    <n v="1"/>
    <n v="9"/>
    <n v="2"/>
    <n v="8"/>
    <n v="7"/>
    <n v="1"/>
    <n v="1"/>
  </r>
  <r>
    <s v="No"/>
    <s v="Travel_Rarely"/>
    <x v="2"/>
    <s v="Current Employees"/>
    <x v="0"/>
    <x v="0"/>
    <s v="STAFF-1497"/>
    <n v="1497"/>
    <x v="1"/>
    <x v="0"/>
    <x v="2"/>
    <s v="No"/>
    <s v="Y"/>
    <n v="3"/>
    <n v="-2"/>
    <n v="0"/>
    <n v="29"/>
    <n v="0"/>
    <m/>
    <n v="0"/>
    <n v="1"/>
    <n v="1246"/>
    <n v="19"/>
    <x v="3"/>
    <n v="1"/>
    <n v="3"/>
    <n v="77"/>
    <n v="2"/>
    <n v="2"/>
    <n v="3"/>
    <n v="8620"/>
    <n v="23757"/>
    <n v="1"/>
    <n v="14"/>
    <n v="3"/>
    <n v="3"/>
    <n v="80"/>
    <n v="2"/>
    <n v="10"/>
    <n v="3"/>
    <n v="10"/>
    <n v="7"/>
    <n v="0"/>
    <n v="4"/>
  </r>
  <r>
    <s v="No"/>
    <s v="Travel_Rarely"/>
    <x v="2"/>
    <s v="Current Employees"/>
    <x v="0"/>
    <x v="2"/>
    <s v="STAFF-1670"/>
    <n v="1670"/>
    <x v="1"/>
    <x v="0"/>
    <x v="2"/>
    <s v="No"/>
    <s v="Y"/>
    <n v="5"/>
    <n v="-2"/>
    <n v="0"/>
    <n v="33"/>
    <n v="0"/>
    <m/>
    <n v="0"/>
    <n v="1"/>
    <n v="392"/>
    <n v="2"/>
    <x v="2"/>
    <n v="1"/>
    <n v="4"/>
    <n v="93"/>
    <n v="3"/>
    <n v="2"/>
    <n v="4"/>
    <n v="5505"/>
    <n v="3921"/>
    <n v="1"/>
    <n v="14"/>
    <n v="3"/>
    <n v="3"/>
    <n v="80"/>
    <n v="2"/>
    <n v="6"/>
    <n v="3"/>
    <n v="6"/>
    <n v="2"/>
    <n v="0"/>
    <n v="4"/>
  </r>
  <r>
    <s v="No"/>
    <s v="Travel_Rarely"/>
    <x v="1"/>
    <s v="Current Employees"/>
    <x v="0"/>
    <x v="3"/>
    <s v="STAFF-1466"/>
    <n v="1466"/>
    <x v="1"/>
    <x v="0"/>
    <x v="2"/>
    <s v="No"/>
    <s v="Y"/>
    <n v="3"/>
    <n v="-2"/>
    <n v="0"/>
    <n v="48"/>
    <n v="0"/>
    <m/>
    <n v="0"/>
    <n v="1"/>
    <n v="1221"/>
    <n v="7"/>
    <x v="3"/>
    <n v="1"/>
    <n v="3"/>
    <n v="96"/>
    <n v="3"/>
    <n v="2"/>
    <n v="2"/>
    <n v="5486"/>
    <n v="24795"/>
    <n v="4"/>
    <n v="11"/>
    <n v="3"/>
    <n v="1"/>
    <n v="80"/>
    <n v="3"/>
    <n v="15"/>
    <n v="3"/>
    <n v="2"/>
    <n v="2"/>
    <n v="2"/>
    <n v="2"/>
  </r>
  <r>
    <s v="No"/>
    <s v="Travel_Rarely"/>
    <x v="0"/>
    <s v="Current Employees"/>
    <x v="0"/>
    <x v="2"/>
    <s v="STAFF-1548"/>
    <n v="1548"/>
    <x v="1"/>
    <x v="0"/>
    <x v="1"/>
    <s v="No"/>
    <s v="Y"/>
    <n v="5"/>
    <n v="-2"/>
    <n v="0"/>
    <n v="40"/>
    <n v="0"/>
    <m/>
    <n v="0"/>
    <n v="1"/>
    <n v="1342"/>
    <n v="9"/>
    <x v="0"/>
    <n v="1"/>
    <n v="1"/>
    <n v="47"/>
    <n v="3"/>
    <n v="2"/>
    <n v="1"/>
    <n v="5473"/>
    <n v="19345"/>
    <n v="0"/>
    <n v="12"/>
    <n v="3"/>
    <n v="4"/>
    <n v="80"/>
    <n v="0"/>
    <n v="9"/>
    <n v="4"/>
    <n v="8"/>
    <n v="4"/>
    <n v="7"/>
    <n v="1"/>
  </r>
  <r>
    <s v="No"/>
    <s v="Travel_Rarely"/>
    <x v="2"/>
    <s v="Current Employees"/>
    <x v="0"/>
    <x v="0"/>
    <s v="STAFF-1560"/>
    <n v="1560"/>
    <x v="1"/>
    <x v="0"/>
    <x v="1"/>
    <s v="No"/>
    <s v="Y"/>
    <n v="6"/>
    <n v="-2"/>
    <n v="0"/>
    <n v="33"/>
    <n v="0"/>
    <m/>
    <n v="0"/>
    <n v="1"/>
    <n v="1242"/>
    <n v="8"/>
    <x v="2"/>
    <n v="1"/>
    <n v="1"/>
    <n v="46"/>
    <n v="3"/>
    <n v="2"/>
    <n v="1"/>
    <n v="6392"/>
    <n v="10589"/>
    <n v="2"/>
    <n v="13"/>
    <n v="3"/>
    <n v="4"/>
    <n v="80"/>
    <n v="1"/>
    <n v="8"/>
    <n v="1"/>
    <n v="2"/>
    <n v="2"/>
    <n v="2"/>
    <n v="2"/>
  </r>
  <r>
    <s v="No"/>
    <s v="Travel_Rarely"/>
    <x v="2"/>
    <s v="Current Employees"/>
    <x v="0"/>
    <x v="0"/>
    <s v="STAFF-1996"/>
    <n v="1996"/>
    <x v="1"/>
    <x v="6"/>
    <x v="1"/>
    <s v="No"/>
    <s v="Y"/>
    <n v="1"/>
    <n v="-2"/>
    <n v="0"/>
    <n v="31"/>
    <n v="0"/>
    <m/>
    <n v="0"/>
    <n v="1"/>
    <n v="1154"/>
    <n v="2"/>
    <x v="0"/>
    <n v="1"/>
    <n v="1"/>
    <n v="54"/>
    <n v="3"/>
    <n v="1"/>
    <n v="3"/>
    <n v="3067"/>
    <n v="6393"/>
    <n v="0"/>
    <n v="19"/>
    <n v="3"/>
    <n v="3"/>
    <n v="80"/>
    <n v="1"/>
    <n v="3"/>
    <n v="3"/>
    <n v="2"/>
    <n v="2"/>
    <n v="1"/>
    <n v="2"/>
  </r>
  <r>
    <s v="No"/>
    <s v="Travel_Rarely"/>
    <x v="2"/>
    <s v="Current Employees"/>
    <x v="0"/>
    <x v="4"/>
    <s v="STAFF-1749"/>
    <n v="1749"/>
    <x v="1"/>
    <x v="0"/>
    <x v="1"/>
    <s v="No"/>
    <s v="Y"/>
    <n v="3"/>
    <n v="-2"/>
    <n v="0"/>
    <n v="31"/>
    <n v="0"/>
    <m/>
    <n v="0"/>
    <n v="1"/>
    <n v="1003"/>
    <n v="5"/>
    <x v="3"/>
    <n v="1"/>
    <n v="4"/>
    <n v="51"/>
    <n v="3"/>
    <n v="2"/>
    <n v="4"/>
    <n v="8346"/>
    <n v="20943"/>
    <n v="1"/>
    <n v="19"/>
    <n v="3"/>
    <n v="3"/>
    <n v="80"/>
    <n v="1"/>
    <n v="6"/>
    <n v="3"/>
    <n v="5"/>
    <n v="2"/>
    <n v="0"/>
    <n v="2"/>
  </r>
  <r>
    <s v="No"/>
    <s v="Travel_Rarely"/>
    <x v="2"/>
    <s v="Current Employees"/>
    <x v="0"/>
    <x v="2"/>
    <s v="STAFF-2013"/>
    <n v="2013"/>
    <x v="1"/>
    <x v="6"/>
    <x v="1"/>
    <s v="No"/>
    <s v="Y"/>
    <n v="2"/>
    <n v="-2"/>
    <n v="0"/>
    <n v="32"/>
    <n v="0"/>
    <m/>
    <n v="0"/>
    <n v="1"/>
    <n v="234"/>
    <n v="1"/>
    <x v="2"/>
    <n v="1"/>
    <n v="2"/>
    <n v="68"/>
    <n v="2"/>
    <n v="1"/>
    <n v="2"/>
    <n v="2269"/>
    <n v="18024"/>
    <n v="0"/>
    <n v="14"/>
    <n v="3"/>
    <n v="2"/>
    <n v="80"/>
    <n v="1"/>
    <n v="3"/>
    <n v="3"/>
    <n v="2"/>
    <n v="2"/>
    <n v="2"/>
    <n v="2"/>
  </r>
  <r>
    <s v="No"/>
    <s v="Travel_Rarely"/>
    <x v="0"/>
    <s v="Current Employees"/>
    <x v="0"/>
    <x v="2"/>
    <s v="STAFF-1945"/>
    <n v="1945"/>
    <x v="1"/>
    <x v="0"/>
    <x v="1"/>
    <s v="No"/>
    <s v="Y"/>
    <n v="2"/>
    <n v="-2"/>
    <n v="0"/>
    <n v="35"/>
    <n v="0"/>
    <m/>
    <n v="0"/>
    <n v="1"/>
    <n v="682"/>
    <n v="18"/>
    <x v="2"/>
    <n v="1"/>
    <n v="2"/>
    <n v="71"/>
    <n v="3"/>
    <n v="2"/>
    <n v="1"/>
    <n v="5561"/>
    <n v="15975"/>
    <n v="0"/>
    <n v="16"/>
    <n v="3"/>
    <n v="4"/>
    <n v="80"/>
    <n v="1"/>
    <n v="6"/>
    <n v="1"/>
    <n v="5"/>
    <n v="3"/>
    <n v="0"/>
    <n v="4"/>
  </r>
  <r>
    <s v="No"/>
    <s v="Travel_Rarely"/>
    <x v="2"/>
    <s v="Current Employees"/>
    <x v="0"/>
    <x v="4"/>
    <s v="STAFF-1568"/>
    <n v="1568"/>
    <x v="1"/>
    <x v="0"/>
    <x v="1"/>
    <s v="No"/>
    <s v="Y"/>
    <n v="3"/>
    <n v="-2"/>
    <n v="0"/>
    <n v="30"/>
    <n v="0"/>
    <m/>
    <n v="0"/>
    <n v="1"/>
    <n v="1288"/>
    <n v="29"/>
    <x v="2"/>
    <n v="1"/>
    <n v="4"/>
    <n v="33"/>
    <n v="3"/>
    <n v="3"/>
    <n v="4"/>
    <n v="9250"/>
    <n v="17799"/>
    <n v="3"/>
    <n v="12"/>
    <n v="3"/>
    <n v="2"/>
    <n v="80"/>
    <n v="1"/>
    <n v="9"/>
    <n v="3"/>
    <n v="4"/>
    <n v="2"/>
    <n v="1"/>
    <n v="3"/>
  </r>
  <r>
    <s v="No"/>
    <s v="Travel_Rarely"/>
    <x v="0"/>
    <s v="Current Employees"/>
    <x v="0"/>
    <x v="0"/>
    <s v="STAFF-1582"/>
    <n v="1582"/>
    <x v="1"/>
    <x v="0"/>
    <x v="1"/>
    <s v="No"/>
    <s v="Y"/>
    <n v="3"/>
    <n v="-2"/>
    <n v="0"/>
    <n v="38"/>
    <n v="0"/>
    <m/>
    <n v="0"/>
    <n v="1"/>
    <n v="1245"/>
    <n v="14"/>
    <x v="3"/>
    <n v="1"/>
    <n v="3"/>
    <n v="80"/>
    <n v="3"/>
    <n v="2"/>
    <n v="2"/>
    <n v="9924"/>
    <n v="12355"/>
    <n v="0"/>
    <n v="11"/>
    <n v="3"/>
    <n v="4"/>
    <n v="80"/>
    <n v="1"/>
    <n v="10"/>
    <n v="3"/>
    <n v="9"/>
    <n v="8"/>
    <n v="7"/>
    <n v="7"/>
  </r>
  <r>
    <s v="No"/>
    <s v="Travel_Rarely"/>
    <x v="2"/>
    <s v="Current Employees"/>
    <x v="0"/>
    <x v="0"/>
    <s v="STAFF-1739"/>
    <n v="1739"/>
    <x v="1"/>
    <x v="0"/>
    <x v="1"/>
    <s v="No"/>
    <s v="Y"/>
    <n v="2"/>
    <n v="-2"/>
    <n v="0"/>
    <n v="32"/>
    <n v="0"/>
    <m/>
    <n v="0"/>
    <n v="1"/>
    <n v="371"/>
    <n v="19"/>
    <x v="3"/>
    <n v="1"/>
    <n v="4"/>
    <n v="80"/>
    <n v="1"/>
    <n v="3"/>
    <n v="3"/>
    <n v="9610"/>
    <n v="3840"/>
    <n v="3"/>
    <n v="13"/>
    <n v="3"/>
    <n v="3"/>
    <n v="80"/>
    <n v="1"/>
    <n v="10"/>
    <n v="1"/>
    <n v="4"/>
    <n v="3"/>
    <n v="0"/>
    <n v="2"/>
  </r>
  <r>
    <s v="No"/>
    <s v="Travel_Rarely"/>
    <x v="0"/>
    <s v="Current Employees"/>
    <x v="0"/>
    <x v="0"/>
    <s v="STAFF-1492"/>
    <n v="1492"/>
    <x v="1"/>
    <x v="6"/>
    <x v="1"/>
    <s v="No"/>
    <s v="Y"/>
    <n v="3"/>
    <n v="-2"/>
    <n v="0"/>
    <n v="35"/>
    <n v="0"/>
    <m/>
    <n v="0"/>
    <n v="1"/>
    <n v="660"/>
    <n v="7"/>
    <x v="1"/>
    <n v="1"/>
    <n v="4"/>
    <n v="76"/>
    <n v="3"/>
    <n v="1"/>
    <n v="3"/>
    <n v="2404"/>
    <n v="16192"/>
    <n v="1"/>
    <n v="13"/>
    <n v="3"/>
    <n v="1"/>
    <n v="80"/>
    <n v="1"/>
    <n v="1"/>
    <n v="3"/>
    <n v="1"/>
    <n v="0"/>
    <n v="0"/>
    <n v="0"/>
  </r>
  <r>
    <s v="No"/>
    <s v="Travel_Rarely"/>
    <x v="2"/>
    <s v="Current Employees"/>
    <x v="0"/>
    <x v="3"/>
    <s v="STAFF-1446"/>
    <n v="1446"/>
    <x v="1"/>
    <x v="0"/>
    <x v="1"/>
    <s v="No"/>
    <s v="Y"/>
    <n v="3"/>
    <n v="-2"/>
    <n v="0"/>
    <n v="32"/>
    <n v="0"/>
    <m/>
    <n v="0"/>
    <n v="1"/>
    <n v="601"/>
    <n v="7"/>
    <x v="4"/>
    <n v="1"/>
    <n v="4"/>
    <n v="97"/>
    <n v="3"/>
    <n v="2"/>
    <n v="2"/>
    <n v="9204"/>
    <n v="23343"/>
    <n v="4"/>
    <n v="12"/>
    <n v="3"/>
    <n v="3"/>
    <n v="80"/>
    <n v="1"/>
    <n v="7"/>
    <n v="2"/>
    <n v="4"/>
    <n v="3"/>
    <n v="0"/>
    <n v="3"/>
  </r>
  <r>
    <s v="No"/>
    <s v="Travel_Rarely"/>
    <x v="0"/>
    <s v="Current Employees"/>
    <x v="0"/>
    <x v="2"/>
    <s v="STAFF-1588"/>
    <n v="1588"/>
    <x v="1"/>
    <x v="0"/>
    <x v="1"/>
    <s v="No"/>
    <s v="Y"/>
    <n v="3"/>
    <n v="-2"/>
    <n v="0"/>
    <n v="39"/>
    <n v="0"/>
    <m/>
    <n v="0"/>
    <n v="1"/>
    <n v="1462"/>
    <n v="6"/>
    <x v="3"/>
    <n v="1"/>
    <n v="4"/>
    <n v="38"/>
    <n v="4"/>
    <n v="3"/>
    <n v="3"/>
    <n v="8237"/>
    <n v="4658"/>
    <n v="2"/>
    <n v="11"/>
    <n v="3"/>
    <n v="1"/>
    <n v="80"/>
    <n v="1"/>
    <n v="11"/>
    <n v="3"/>
    <n v="7"/>
    <n v="6"/>
    <n v="7"/>
    <n v="6"/>
  </r>
  <r>
    <s v="No"/>
    <s v="Travel_Rarely"/>
    <x v="0"/>
    <s v="Current Employees"/>
    <x v="0"/>
    <x v="3"/>
    <s v="STAFF-1787"/>
    <n v="1787"/>
    <x v="1"/>
    <x v="0"/>
    <x v="1"/>
    <s v="No"/>
    <s v="Y"/>
    <n v="2"/>
    <n v="-2"/>
    <n v="0"/>
    <n v="37"/>
    <n v="0"/>
    <m/>
    <n v="0"/>
    <n v="1"/>
    <n v="589"/>
    <n v="9"/>
    <x v="0"/>
    <n v="1"/>
    <n v="2"/>
    <n v="46"/>
    <n v="2"/>
    <n v="2"/>
    <n v="2"/>
    <n v="4189"/>
    <n v="8800"/>
    <n v="1"/>
    <n v="14"/>
    <n v="3"/>
    <n v="1"/>
    <n v="80"/>
    <n v="2"/>
    <n v="5"/>
    <n v="3"/>
    <n v="5"/>
    <n v="2"/>
    <n v="0"/>
    <n v="3"/>
  </r>
  <r>
    <s v="No"/>
    <s v="Travel_Rarely"/>
    <x v="0"/>
    <s v="Current Employees"/>
    <x v="0"/>
    <x v="3"/>
    <s v="STAFF-1908"/>
    <n v="1908"/>
    <x v="1"/>
    <x v="0"/>
    <x v="1"/>
    <s v="No"/>
    <s v="Y"/>
    <n v="1"/>
    <n v="-2"/>
    <n v="0"/>
    <n v="36"/>
    <n v="0"/>
    <m/>
    <n v="0"/>
    <n v="1"/>
    <n v="335"/>
    <n v="17"/>
    <x v="0"/>
    <n v="1"/>
    <n v="3"/>
    <n v="33"/>
    <n v="2"/>
    <n v="2"/>
    <n v="2"/>
    <n v="5507"/>
    <n v="16822"/>
    <n v="2"/>
    <n v="16"/>
    <n v="3"/>
    <n v="3"/>
    <n v="80"/>
    <n v="2"/>
    <n v="12"/>
    <n v="1"/>
    <n v="4"/>
    <n v="2"/>
    <n v="1"/>
    <n v="3"/>
  </r>
  <r>
    <s v="No"/>
    <s v="Travel_Rarely"/>
    <x v="0"/>
    <s v="Current Employees"/>
    <x v="0"/>
    <x v="0"/>
    <s v="STAFF-1995"/>
    <n v="1995"/>
    <x v="1"/>
    <x v="0"/>
    <x v="1"/>
    <s v="No"/>
    <s v="Y"/>
    <n v="3"/>
    <n v="-2"/>
    <n v="0"/>
    <n v="38"/>
    <n v="0"/>
    <m/>
    <n v="0"/>
    <n v="1"/>
    <n v="1321"/>
    <n v="1"/>
    <x v="2"/>
    <n v="1"/>
    <n v="4"/>
    <n v="86"/>
    <n v="3"/>
    <n v="2"/>
    <n v="2"/>
    <n v="4440"/>
    <n v="7636"/>
    <n v="0"/>
    <n v="15"/>
    <n v="3"/>
    <n v="1"/>
    <n v="80"/>
    <n v="2"/>
    <n v="16"/>
    <n v="3"/>
    <n v="15"/>
    <n v="13"/>
    <n v="5"/>
    <n v="8"/>
  </r>
  <r>
    <s v="No"/>
    <s v="Travel_Rarely"/>
    <x v="2"/>
    <s v="Current Employees"/>
    <x v="0"/>
    <x v="0"/>
    <s v="STAFF-1479"/>
    <n v="1479"/>
    <x v="1"/>
    <x v="0"/>
    <x v="1"/>
    <s v="No"/>
    <s v="Y"/>
    <n v="2"/>
    <n v="-2"/>
    <n v="0"/>
    <n v="30"/>
    <n v="0"/>
    <m/>
    <n v="0"/>
    <n v="1"/>
    <n v="1358"/>
    <n v="16"/>
    <x v="1"/>
    <n v="1"/>
    <n v="4"/>
    <n v="96"/>
    <n v="3"/>
    <n v="2"/>
    <n v="3"/>
    <n v="5301"/>
    <n v="2939"/>
    <n v="8"/>
    <n v="15"/>
    <n v="3"/>
    <n v="3"/>
    <n v="80"/>
    <n v="2"/>
    <n v="4"/>
    <n v="2"/>
    <n v="2"/>
    <n v="1"/>
    <n v="2"/>
    <n v="2"/>
  </r>
  <r>
    <s v="No"/>
    <s v="Travel_Rarely"/>
    <x v="0"/>
    <s v="Current Employees"/>
    <x v="0"/>
    <x v="0"/>
    <s v="STAFF-1961"/>
    <n v="1961"/>
    <x v="1"/>
    <x v="6"/>
    <x v="0"/>
    <s v="No"/>
    <s v="Y"/>
    <n v="3"/>
    <n v="-2"/>
    <n v="0"/>
    <n v="38"/>
    <n v="0"/>
    <m/>
    <n v="0"/>
    <n v="1"/>
    <n v="1404"/>
    <n v="1"/>
    <x v="3"/>
    <n v="1"/>
    <n v="1"/>
    <n v="59"/>
    <n v="2"/>
    <n v="1"/>
    <n v="1"/>
    <n v="2858"/>
    <n v="11473"/>
    <n v="4"/>
    <n v="14"/>
    <n v="3"/>
    <n v="1"/>
    <n v="80"/>
    <n v="0"/>
    <n v="20"/>
    <n v="2"/>
    <n v="1"/>
    <n v="0"/>
    <n v="0"/>
    <n v="0"/>
  </r>
  <r>
    <s v="No"/>
    <s v="Travel_Rarely"/>
    <x v="0"/>
    <s v="Current Employees"/>
    <x v="0"/>
    <x v="3"/>
    <s v="STAFF-1975"/>
    <n v="1975"/>
    <x v="1"/>
    <x v="0"/>
    <x v="0"/>
    <s v="No"/>
    <s v="Y"/>
    <n v="3"/>
    <n v="-2"/>
    <n v="0"/>
    <n v="39"/>
    <n v="0"/>
    <m/>
    <n v="0"/>
    <n v="1"/>
    <n v="119"/>
    <n v="15"/>
    <x v="2"/>
    <n v="1"/>
    <n v="2"/>
    <n v="77"/>
    <n v="3"/>
    <n v="4"/>
    <n v="1"/>
    <n v="13341"/>
    <n v="25098"/>
    <n v="0"/>
    <n v="12"/>
    <n v="3"/>
    <n v="1"/>
    <n v="80"/>
    <n v="0"/>
    <n v="21"/>
    <n v="3"/>
    <n v="20"/>
    <n v="8"/>
    <n v="11"/>
    <n v="10"/>
  </r>
  <r>
    <s v="No"/>
    <s v="Travel_Rarely"/>
    <x v="0"/>
    <s v="Current Employees"/>
    <x v="0"/>
    <x v="2"/>
    <s v="STAFF-1740"/>
    <n v="1740"/>
    <x v="1"/>
    <x v="5"/>
    <x v="0"/>
    <s v="No"/>
    <s v="Y"/>
    <n v="3"/>
    <n v="-2"/>
    <n v="0"/>
    <n v="40"/>
    <n v="0"/>
    <m/>
    <n v="0"/>
    <n v="1"/>
    <n v="611"/>
    <n v="7"/>
    <x v="2"/>
    <n v="1"/>
    <n v="2"/>
    <n v="88"/>
    <n v="3"/>
    <n v="5"/>
    <n v="2"/>
    <n v="19833"/>
    <n v="4349"/>
    <n v="1"/>
    <n v="14"/>
    <n v="3"/>
    <n v="2"/>
    <n v="80"/>
    <n v="0"/>
    <n v="21"/>
    <n v="2"/>
    <n v="21"/>
    <n v="8"/>
    <n v="12"/>
    <n v="8"/>
  </r>
  <r>
    <s v="No"/>
    <s v="Travel_Rarely"/>
    <x v="2"/>
    <s v="Current Employees"/>
    <x v="0"/>
    <x v="3"/>
    <s v="STAFF-1924"/>
    <n v="1924"/>
    <x v="1"/>
    <x v="0"/>
    <x v="0"/>
    <s v="No"/>
    <s v="Y"/>
    <n v="2"/>
    <n v="-2"/>
    <n v="0"/>
    <n v="33"/>
    <n v="0"/>
    <m/>
    <n v="0"/>
    <n v="1"/>
    <n v="217"/>
    <n v="10"/>
    <x v="2"/>
    <n v="1"/>
    <n v="2"/>
    <n v="43"/>
    <n v="3"/>
    <n v="2"/>
    <n v="1"/>
    <n v="5487"/>
    <n v="10410"/>
    <n v="1"/>
    <n v="14"/>
    <n v="3"/>
    <n v="2"/>
    <n v="80"/>
    <n v="0"/>
    <n v="10"/>
    <n v="2"/>
    <n v="10"/>
    <n v="4"/>
    <n v="0"/>
    <n v="9"/>
  </r>
  <r>
    <s v="No"/>
    <s v="Travel_Rarely"/>
    <x v="2"/>
    <s v="Current Employees"/>
    <x v="0"/>
    <x v="2"/>
    <s v="STAFF-1650"/>
    <n v="1650"/>
    <x v="1"/>
    <x v="0"/>
    <x v="0"/>
    <s v="No"/>
    <s v="Y"/>
    <n v="2"/>
    <n v="-2"/>
    <n v="0"/>
    <n v="29"/>
    <n v="0"/>
    <m/>
    <n v="0"/>
    <n v="1"/>
    <n v="469"/>
    <n v="10"/>
    <x v="3"/>
    <n v="1"/>
    <n v="3"/>
    <n v="42"/>
    <n v="2"/>
    <n v="2"/>
    <n v="3"/>
    <n v="5869"/>
    <n v="23413"/>
    <n v="9"/>
    <n v="11"/>
    <n v="3"/>
    <n v="3"/>
    <n v="80"/>
    <n v="0"/>
    <n v="8"/>
    <n v="3"/>
    <n v="5"/>
    <n v="2"/>
    <n v="1"/>
    <n v="4"/>
  </r>
  <r>
    <s v="No"/>
    <s v="Travel_Rarely"/>
    <x v="2"/>
    <s v="Current Employees"/>
    <x v="0"/>
    <x v="2"/>
    <s v="STAFF-1836"/>
    <n v="1836"/>
    <x v="1"/>
    <x v="0"/>
    <x v="0"/>
    <s v="No"/>
    <s v="Y"/>
    <n v="4"/>
    <n v="-2"/>
    <n v="0"/>
    <n v="26"/>
    <n v="0"/>
    <m/>
    <n v="0"/>
    <n v="1"/>
    <n v="572"/>
    <n v="10"/>
    <x v="3"/>
    <n v="1"/>
    <n v="3"/>
    <n v="46"/>
    <n v="3"/>
    <n v="2"/>
    <n v="4"/>
    <n v="4684"/>
    <n v="9125"/>
    <n v="1"/>
    <n v="13"/>
    <n v="3"/>
    <n v="1"/>
    <n v="80"/>
    <n v="0"/>
    <n v="5"/>
    <n v="3"/>
    <n v="5"/>
    <n v="3"/>
    <n v="1"/>
    <n v="2"/>
  </r>
  <r>
    <s v="No"/>
    <s v="Travel_Rarely"/>
    <x v="2"/>
    <s v="Current Employees"/>
    <x v="0"/>
    <x v="1"/>
    <s v="STAFF-1478"/>
    <n v="1478"/>
    <x v="1"/>
    <x v="0"/>
    <x v="0"/>
    <s v="No"/>
    <s v="Y"/>
    <n v="2"/>
    <n v="-2"/>
    <n v="0"/>
    <n v="34"/>
    <n v="0"/>
    <m/>
    <n v="0"/>
    <n v="1"/>
    <n v="1326"/>
    <n v="3"/>
    <x v="3"/>
    <n v="1"/>
    <n v="4"/>
    <n v="81"/>
    <n v="1"/>
    <n v="2"/>
    <n v="1"/>
    <n v="4759"/>
    <n v="15891"/>
    <n v="3"/>
    <n v="18"/>
    <n v="3"/>
    <n v="4"/>
    <n v="80"/>
    <n v="0"/>
    <n v="15"/>
    <n v="3"/>
    <n v="13"/>
    <n v="9"/>
    <n v="3"/>
    <n v="12"/>
  </r>
  <r>
    <s v="No"/>
    <s v="Travel_Rarely"/>
    <x v="4"/>
    <s v="Current Employees"/>
    <x v="0"/>
    <x v="0"/>
    <s v="STAFF-1680"/>
    <n v="1680"/>
    <x v="1"/>
    <x v="6"/>
    <x v="0"/>
    <s v="No"/>
    <s v="Y"/>
    <n v="3"/>
    <n v="-2"/>
    <n v="0"/>
    <n v="20"/>
    <n v="0"/>
    <m/>
    <n v="0"/>
    <n v="1"/>
    <n v="727"/>
    <n v="9"/>
    <x v="1"/>
    <n v="1"/>
    <n v="4"/>
    <n v="54"/>
    <n v="3"/>
    <n v="1"/>
    <n v="1"/>
    <n v="2728"/>
    <n v="21082"/>
    <n v="1"/>
    <n v="11"/>
    <n v="3"/>
    <n v="1"/>
    <n v="80"/>
    <n v="0"/>
    <n v="2"/>
    <n v="3"/>
    <n v="2"/>
    <n v="2"/>
    <n v="0"/>
    <n v="2"/>
  </r>
  <r>
    <s v="No"/>
    <s v="Travel_Rarely"/>
    <x v="2"/>
    <s v="Current Employees"/>
    <x v="0"/>
    <x v="2"/>
    <s v="STAFF-1469"/>
    <n v="1469"/>
    <x v="1"/>
    <x v="0"/>
    <x v="0"/>
    <s v="No"/>
    <s v="Y"/>
    <n v="4"/>
    <n v="-2"/>
    <n v="0"/>
    <n v="28"/>
    <n v="0"/>
    <m/>
    <n v="0"/>
    <n v="1"/>
    <n v="866"/>
    <n v="5"/>
    <x v="3"/>
    <n v="1"/>
    <n v="4"/>
    <n v="84"/>
    <n v="3"/>
    <n v="2"/>
    <n v="1"/>
    <n v="8463"/>
    <n v="23490"/>
    <n v="0"/>
    <n v="18"/>
    <n v="3"/>
    <n v="4"/>
    <n v="80"/>
    <n v="0"/>
    <n v="6"/>
    <n v="3"/>
    <n v="5"/>
    <n v="4"/>
    <n v="1"/>
    <n v="3"/>
  </r>
  <r>
    <s v="No"/>
    <s v="Travel_Rarely"/>
    <x v="0"/>
    <s v="Current Employees"/>
    <x v="0"/>
    <x v="3"/>
    <s v="STAFF-1708"/>
    <n v="1708"/>
    <x v="1"/>
    <x v="0"/>
    <x v="0"/>
    <s v="No"/>
    <s v="Y"/>
    <n v="3"/>
    <n v="-2"/>
    <n v="0"/>
    <n v="41"/>
    <n v="0"/>
    <m/>
    <n v="0"/>
    <n v="1"/>
    <n v="918"/>
    <n v="6"/>
    <x v="3"/>
    <n v="1"/>
    <n v="4"/>
    <n v="35"/>
    <n v="3"/>
    <n v="3"/>
    <n v="1"/>
    <n v="9241"/>
    <n v="15869"/>
    <n v="1"/>
    <n v="12"/>
    <n v="3"/>
    <n v="2"/>
    <n v="80"/>
    <n v="0"/>
    <n v="10"/>
    <n v="3"/>
    <n v="10"/>
    <n v="8"/>
    <n v="8"/>
    <n v="7"/>
  </r>
  <r>
    <s v="No"/>
    <s v="Travel_Rarely"/>
    <x v="2"/>
    <s v="Current Employees"/>
    <x v="0"/>
    <x v="3"/>
    <s v="STAFF-1965"/>
    <n v="1965"/>
    <x v="1"/>
    <x v="0"/>
    <x v="0"/>
    <s v="No"/>
    <s v="Y"/>
    <n v="5"/>
    <n v="-2"/>
    <n v="0"/>
    <n v="27"/>
    <n v="0"/>
    <m/>
    <n v="0"/>
    <n v="1"/>
    <n v="954"/>
    <n v="9"/>
    <x v="3"/>
    <n v="1"/>
    <n v="4"/>
    <n v="44"/>
    <n v="3"/>
    <n v="2"/>
    <n v="1"/>
    <n v="4105"/>
    <n v="5099"/>
    <n v="1"/>
    <n v="14"/>
    <n v="3"/>
    <n v="1"/>
    <n v="80"/>
    <n v="0"/>
    <n v="7"/>
    <n v="3"/>
    <n v="7"/>
    <n v="7"/>
    <n v="0"/>
    <n v="7"/>
  </r>
  <r>
    <s v="No"/>
    <s v="Travel_Rarely"/>
    <x v="1"/>
    <s v="Current Employees"/>
    <x v="0"/>
    <x v="0"/>
    <s v="STAFF-1602"/>
    <n v="1602"/>
    <x v="1"/>
    <x v="5"/>
    <x v="0"/>
    <s v="No"/>
    <s v="Y"/>
    <n v="5"/>
    <n v="-2"/>
    <n v="0"/>
    <n v="46"/>
    <n v="0"/>
    <m/>
    <n v="0"/>
    <n v="1"/>
    <n v="563"/>
    <n v="1"/>
    <x v="2"/>
    <n v="1"/>
    <n v="4"/>
    <n v="56"/>
    <n v="4"/>
    <n v="4"/>
    <n v="1"/>
    <n v="17567"/>
    <n v="3156"/>
    <n v="1"/>
    <n v="15"/>
    <n v="3"/>
    <n v="2"/>
    <n v="80"/>
    <n v="0"/>
    <n v="27"/>
    <n v="1"/>
    <n v="26"/>
    <n v="0"/>
    <n v="0"/>
    <n v="12"/>
  </r>
  <r>
    <s v="No"/>
    <s v="Non-Travel"/>
    <x v="4"/>
    <s v="Current Employees"/>
    <x v="1"/>
    <x v="1"/>
    <s v="STAFF-1605"/>
    <n v="1605"/>
    <x v="0"/>
    <x v="1"/>
    <x v="1"/>
    <s v="Yes"/>
    <s v="Y"/>
    <n v="2"/>
    <n v="-2"/>
    <n v="0"/>
    <n v="22"/>
    <n v="0"/>
    <m/>
    <n v="0"/>
    <n v="1"/>
    <n v="457"/>
    <n v="26"/>
    <x v="0"/>
    <n v="1"/>
    <n v="2"/>
    <n v="85"/>
    <n v="2"/>
    <n v="1"/>
    <n v="3"/>
    <n v="2814"/>
    <n v="10293"/>
    <n v="1"/>
    <n v="14"/>
    <n v="3"/>
    <n v="2"/>
    <n v="80"/>
    <n v="0"/>
    <n v="4"/>
    <n v="2"/>
    <n v="4"/>
    <n v="2"/>
    <n v="1"/>
    <n v="3"/>
  </r>
  <r>
    <s v="No"/>
    <s v="Travel_Frequently"/>
    <x v="0"/>
    <s v="Current Employees"/>
    <x v="1"/>
    <x v="2"/>
    <s v="STAFF-1937"/>
    <n v="1937"/>
    <x v="0"/>
    <x v="1"/>
    <x v="2"/>
    <s v="Yes"/>
    <s v="Y"/>
    <n v="3"/>
    <n v="-2"/>
    <n v="0"/>
    <n v="38"/>
    <n v="0"/>
    <m/>
    <n v="0"/>
    <n v="1"/>
    <n v="1394"/>
    <n v="8"/>
    <x v="3"/>
    <n v="1"/>
    <n v="4"/>
    <n v="58"/>
    <n v="2"/>
    <n v="2"/>
    <n v="2"/>
    <n v="2133"/>
    <n v="18115"/>
    <n v="1"/>
    <n v="16"/>
    <n v="3"/>
    <n v="3"/>
    <n v="80"/>
    <n v="1"/>
    <n v="20"/>
    <n v="3"/>
    <n v="20"/>
    <n v="11"/>
    <n v="0"/>
    <n v="7"/>
  </r>
  <r>
    <s v="No"/>
    <s v="Travel_Frequently"/>
    <x v="4"/>
    <s v="Current Employees"/>
    <x v="1"/>
    <x v="4"/>
    <s v="STAFF-1646"/>
    <n v="1646"/>
    <x v="0"/>
    <x v="1"/>
    <x v="0"/>
    <s v="Yes"/>
    <s v="Y"/>
    <n v="2"/>
    <n v="-2"/>
    <n v="0"/>
    <n v="24"/>
    <n v="0"/>
    <m/>
    <n v="0"/>
    <n v="1"/>
    <n v="567"/>
    <n v="2"/>
    <x v="1"/>
    <n v="1"/>
    <n v="4"/>
    <n v="32"/>
    <n v="3"/>
    <n v="1"/>
    <n v="4"/>
    <n v="3760"/>
    <n v="17218"/>
    <n v="1"/>
    <n v="13"/>
    <n v="3"/>
    <n v="3"/>
    <n v="80"/>
    <n v="0"/>
    <n v="6"/>
    <n v="3"/>
    <n v="6"/>
    <n v="3"/>
    <n v="1"/>
    <n v="3"/>
  </r>
  <r>
    <s v="No"/>
    <s v="Travel_Frequently"/>
    <x v="2"/>
    <s v="Current Employees"/>
    <x v="1"/>
    <x v="0"/>
    <s v="STAFF-1850"/>
    <n v="1850"/>
    <x v="0"/>
    <x v="2"/>
    <x v="0"/>
    <s v="Yes"/>
    <s v="Y"/>
    <n v="3"/>
    <n v="-2"/>
    <n v="0"/>
    <n v="27"/>
    <n v="0"/>
    <m/>
    <n v="0"/>
    <n v="1"/>
    <n v="1297"/>
    <n v="5"/>
    <x v="0"/>
    <n v="1"/>
    <n v="4"/>
    <n v="53"/>
    <n v="3"/>
    <n v="1"/>
    <n v="4"/>
    <n v="2379"/>
    <n v="19826"/>
    <n v="0"/>
    <n v="14"/>
    <n v="3"/>
    <n v="3"/>
    <n v="80"/>
    <n v="0"/>
    <n v="6"/>
    <n v="2"/>
    <n v="5"/>
    <n v="4"/>
    <n v="0"/>
    <n v="2"/>
  </r>
  <r>
    <s v="No"/>
    <s v="Travel_Rarely"/>
    <x v="0"/>
    <s v="Current Employees"/>
    <x v="2"/>
    <x v="0"/>
    <s v="STAFF-1683"/>
    <n v="1683"/>
    <x v="0"/>
    <x v="8"/>
    <x v="2"/>
    <s v="Yes"/>
    <s v="Y"/>
    <n v="2"/>
    <n v="-2"/>
    <n v="0"/>
    <n v="44"/>
    <n v="0"/>
    <m/>
    <n v="0"/>
    <n v="1"/>
    <n v="528"/>
    <n v="1"/>
    <x v="3"/>
    <n v="1"/>
    <n v="3"/>
    <n v="44"/>
    <n v="3"/>
    <n v="1"/>
    <n v="4"/>
    <n v="3195"/>
    <n v="4167"/>
    <n v="4"/>
    <n v="18"/>
    <n v="3"/>
    <n v="1"/>
    <n v="80"/>
    <n v="3"/>
    <n v="8"/>
    <n v="3"/>
    <n v="2"/>
    <n v="2"/>
    <n v="2"/>
    <n v="2"/>
  </r>
  <r>
    <s v="No"/>
    <s v="Travel_Rarely"/>
    <x v="0"/>
    <s v="Current Employees"/>
    <x v="2"/>
    <x v="0"/>
    <s v="STAFF-2040"/>
    <n v="2040"/>
    <x v="0"/>
    <x v="8"/>
    <x v="0"/>
    <s v="Yes"/>
    <s v="Y"/>
    <n v="2"/>
    <n v="-2"/>
    <n v="0"/>
    <n v="35"/>
    <n v="0"/>
    <m/>
    <n v="0"/>
    <n v="1"/>
    <n v="1146"/>
    <n v="26"/>
    <x v="2"/>
    <n v="1"/>
    <n v="3"/>
    <n v="31"/>
    <n v="3"/>
    <n v="3"/>
    <n v="4"/>
    <n v="8837"/>
    <n v="16642"/>
    <n v="1"/>
    <n v="16"/>
    <n v="3"/>
    <n v="3"/>
    <n v="80"/>
    <n v="0"/>
    <n v="9"/>
    <n v="3"/>
    <n v="9"/>
    <n v="0"/>
    <n v="1"/>
    <n v="7"/>
  </r>
  <r>
    <s v="No"/>
    <s v="Travel_Rarely"/>
    <x v="0"/>
    <s v="Current Employees"/>
    <x v="1"/>
    <x v="2"/>
    <s v="STAFF-1608"/>
    <n v="1608"/>
    <x v="0"/>
    <x v="7"/>
    <x v="2"/>
    <s v="Yes"/>
    <s v="Y"/>
    <n v="4"/>
    <n v="-2"/>
    <n v="0"/>
    <n v="44"/>
    <n v="0"/>
    <m/>
    <n v="0"/>
    <n v="1"/>
    <n v="1313"/>
    <n v="7"/>
    <x v="3"/>
    <n v="1"/>
    <n v="2"/>
    <n v="31"/>
    <n v="3"/>
    <n v="5"/>
    <n v="4"/>
    <n v="19049"/>
    <n v="3549"/>
    <n v="0"/>
    <n v="14"/>
    <n v="3"/>
    <n v="4"/>
    <n v="80"/>
    <n v="1"/>
    <n v="23"/>
    <n v="2"/>
    <n v="22"/>
    <n v="7"/>
    <n v="1"/>
    <n v="10"/>
  </r>
  <r>
    <s v="No"/>
    <s v="Travel_Rarely"/>
    <x v="1"/>
    <s v="Current Employees"/>
    <x v="1"/>
    <x v="0"/>
    <s v="STAFF-1827"/>
    <n v="1827"/>
    <x v="0"/>
    <x v="3"/>
    <x v="2"/>
    <s v="Yes"/>
    <s v="Y"/>
    <n v="4"/>
    <n v="-2"/>
    <n v="0"/>
    <n v="47"/>
    <n v="0"/>
    <m/>
    <n v="0"/>
    <n v="1"/>
    <n v="1001"/>
    <n v="4"/>
    <x v="3"/>
    <n v="1"/>
    <n v="3"/>
    <n v="92"/>
    <n v="2"/>
    <n v="3"/>
    <n v="2"/>
    <n v="10333"/>
    <n v="19271"/>
    <n v="8"/>
    <n v="12"/>
    <n v="3"/>
    <n v="3"/>
    <n v="80"/>
    <n v="1"/>
    <n v="28"/>
    <n v="3"/>
    <n v="22"/>
    <n v="11"/>
    <n v="14"/>
    <n v="10"/>
  </r>
  <r>
    <s v="No"/>
    <s v="Travel_Rarely"/>
    <x v="1"/>
    <s v="Current Employees"/>
    <x v="1"/>
    <x v="2"/>
    <s v="STAFF-1674"/>
    <n v="1674"/>
    <x v="0"/>
    <x v="2"/>
    <x v="2"/>
    <s v="Yes"/>
    <s v="Y"/>
    <n v="2"/>
    <n v="-2"/>
    <n v="0"/>
    <n v="49"/>
    <n v="0"/>
    <m/>
    <n v="0"/>
    <n v="1"/>
    <n v="464"/>
    <n v="16"/>
    <x v="3"/>
    <n v="1"/>
    <n v="4"/>
    <n v="74"/>
    <n v="3"/>
    <n v="1"/>
    <n v="1"/>
    <n v="2587"/>
    <n v="24941"/>
    <n v="4"/>
    <n v="16"/>
    <n v="3"/>
    <n v="2"/>
    <n v="80"/>
    <n v="1"/>
    <n v="17"/>
    <n v="2"/>
    <n v="2"/>
    <n v="2"/>
    <n v="2"/>
    <n v="2"/>
  </r>
  <r>
    <s v="No"/>
    <s v="Travel_Rarely"/>
    <x v="2"/>
    <s v="Current Employees"/>
    <x v="1"/>
    <x v="2"/>
    <s v="STAFF-1974"/>
    <n v="1974"/>
    <x v="0"/>
    <x v="2"/>
    <x v="2"/>
    <s v="Yes"/>
    <s v="Y"/>
    <n v="4"/>
    <n v="-2"/>
    <n v="0"/>
    <n v="31"/>
    <n v="0"/>
    <m/>
    <n v="0"/>
    <n v="1"/>
    <n v="1276"/>
    <n v="2"/>
    <x v="1"/>
    <n v="1"/>
    <n v="4"/>
    <n v="59"/>
    <n v="1"/>
    <n v="1"/>
    <n v="4"/>
    <n v="1129"/>
    <n v="17536"/>
    <n v="1"/>
    <n v="11"/>
    <n v="3"/>
    <n v="3"/>
    <n v="80"/>
    <n v="3"/>
    <n v="1"/>
    <n v="3"/>
    <n v="1"/>
    <n v="0"/>
    <n v="0"/>
    <n v="0"/>
  </r>
  <r>
    <s v="No"/>
    <s v="Travel_Rarely"/>
    <x v="0"/>
    <s v="Current Employees"/>
    <x v="1"/>
    <x v="1"/>
    <s v="STAFF-1886"/>
    <n v="1886"/>
    <x v="0"/>
    <x v="3"/>
    <x v="1"/>
    <s v="Yes"/>
    <s v="Y"/>
    <n v="2"/>
    <n v="-2"/>
    <n v="0"/>
    <n v="35"/>
    <n v="0"/>
    <m/>
    <n v="0"/>
    <n v="1"/>
    <n v="219"/>
    <n v="16"/>
    <x v="0"/>
    <n v="1"/>
    <n v="4"/>
    <n v="44"/>
    <n v="2"/>
    <n v="2"/>
    <n v="2"/>
    <n v="4788"/>
    <n v="25388"/>
    <n v="0"/>
    <n v="11"/>
    <n v="3"/>
    <n v="4"/>
    <n v="80"/>
    <n v="0"/>
    <n v="4"/>
    <n v="3"/>
    <n v="3"/>
    <n v="2"/>
    <n v="0"/>
    <n v="2"/>
  </r>
  <r>
    <s v="No"/>
    <s v="Travel_Rarely"/>
    <x v="2"/>
    <s v="Current Employees"/>
    <x v="1"/>
    <x v="0"/>
    <s v="STAFF-1893"/>
    <n v="1893"/>
    <x v="0"/>
    <x v="1"/>
    <x v="1"/>
    <s v="Yes"/>
    <s v="Y"/>
    <n v="3"/>
    <n v="-2"/>
    <n v="0"/>
    <n v="26"/>
    <n v="0"/>
    <m/>
    <n v="0"/>
    <n v="1"/>
    <n v="482"/>
    <n v="1"/>
    <x v="0"/>
    <n v="1"/>
    <n v="2"/>
    <n v="90"/>
    <n v="2"/>
    <n v="1"/>
    <n v="3"/>
    <n v="2933"/>
    <n v="14908"/>
    <n v="1"/>
    <n v="13"/>
    <n v="3"/>
    <n v="3"/>
    <n v="80"/>
    <n v="1"/>
    <n v="1"/>
    <n v="2"/>
    <n v="1"/>
    <n v="0"/>
    <n v="1"/>
    <n v="0"/>
  </r>
  <r>
    <s v="No"/>
    <s v="Travel_Rarely"/>
    <x v="0"/>
    <s v="Current Employees"/>
    <x v="1"/>
    <x v="0"/>
    <s v="STAFF-1724"/>
    <n v="1724"/>
    <x v="0"/>
    <x v="3"/>
    <x v="1"/>
    <s v="Yes"/>
    <s v="Y"/>
    <n v="3"/>
    <n v="-2"/>
    <n v="0"/>
    <n v="40"/>
    <n v="0"/>
    <m/>
    <n v="0"/>
    <n v="1"/>
    <n v="369"/>
    <n v="8"/>
    <x v="0"/>
    <n v="1"/>
    <n v="2"/>
    <n v="92"/>
    <n v="3"/>
    <n v="2"/>
    <n v="1"/>
    <n v="6516"/>
    <n v="5041"/>
    <n v="2"/>
    <n v="16"/>
    <n v="3"/>
    <n v="2"/>
    <n v="80"/>
    <n v="1"/>
    <n v="18"/>
    <n v="3"/>
    <n v="1"/>
    <n v="0"/>
    <n v="0"/>
    <n v="0"/>
  </r>
  <r>
    <s v="No"/>
    <s v="Travel_Rarely"/>
    <x v="2"/>
    <s v="Current Employees"/>
    <x v="1"/>
    <x v="2"/>
    <s v="STAFF-2009"/>
    <n v="2009"/>
    <x v="0"/>
    <x v="4"/>
    <x v="1"/>
    <s v="Yes"/>
    <s v="Y"/>
    <n v="6"/>
    <n v="-2"/>
    <n v="0"/>
    <n v="33"/>
    <n v="0"/>
    <m/>
    <n v="0"/>
    <n v="1"/>
    <n v="501"/>
    <n v="15"/>
    <x v="0"/>
    <n v="1"/>
    <n v="2"/>
    <n v="95"/>
    <n v="3"/>
    <n v="2"/>
    <n v="4"/>
    <n v="4878"/>
    <n v="21653"/>
    <n v="0"/>
    <n v="13"/>
    <n v="3"/>
    <n v="1"/>
    <n v="80"/>
    <n v="1"/>
    <n v="10"/>
    <n v="3"/>
    <n v="9"/>
    <n v="7"/>
    <n v="8"/>
    <n v="1"/>
  </r>
  <r>
    <s v="No"/>
    <s v="Travel_Rarely"/>
    <x v="1"/>
    <s v="Current Employees"/>
    <x v="1"/>
    <x v="0"/>
    <s v="STAFF-1661"/>
    <n v="1661"/>
    <x v="0"/>
    <x v="4"/>
    <x v="1"/>
    <s v="Yes"/>
    <s v="Y"/>
    <n v="3"/>
    <n v="-2"/>
    <n v="0"/>
    <n v="49"/>
    <n v="0"/>
    <m/>
    <n v="0"/>
    <n v="1"/>
    <n v="465"/>
    <n v="6"/>
    <x v="1"/>
    <n v="1"/>
    <n v="3"/>
    <n v="41"/>
    <n v="2"/>
    <n v="4"/>
    <n v="3"/>
    <n v="13966"/>
    <n v="11652"/>
    <n v="2"/>
    <n v="19"/>
    <n v="3"/>
    <n v="2"/>
    <n v="80"/>
    <n v="1"/>
    <n v="30"/>
    <n v="3"/>
    <n v="15"/>
    <n v="11"/>
    <n v="2"/>
    <n v="12"/>
  </r>
  <r>
    <s v="No"/>
    <s v="Travel_Rarely"/>
    <x v="0"/>
    <s v="Current Employees"/>
    <x v="1"/>
    <x v="0"/>
    <s v="STAFF-1703"/>
    <n v="1703"/>
    <x v="0"/>
    <x v="4"/>
    <x v="1"/>
    <s v="Yes"/>
    <s v="Y"/>
    <n v="2"/>
    <n v="-2"/>
    <n v="0"/>
    <n v="44"/>
    <n v="0"/>
    <m/>
    <n v="0"/>
    <n v="1"/>
    <n v="921"/>
    <n v="2"/>
    <x v="3"/>
    <n v="1"/>
    <n v="3"/>
    <n v="96"/>
    <n v="4"/>
    <n v="3"/>
    <n v="4"/>
    <n v="7879"/>
    <n v="14810"/>
    <n v="1"/>
    <n v="19"/>
    <n v="3"/>
    <n v="2"/>
    <n v="80"/>
    <n v="1"/>
    <n v="9"/>
    <n v="3"/>
    <n v="8"/>
    <n v="7"/>
    <n v="6"/>
    <n v="7"/>
  </r>
  <r>
    <s v="No"/>
    <s v="Travel_Rarely"/>
    <x v="0"/>
    <s v="Current Employees"/>
    <x v="1"/>
    <x v="2"/>
    <s v="STAFF-1638"/>
    <n v="1638"/>
    <x v="0"/>
    <x v="3"/>
    <x v="1"/>
    <s v="Yes"/>
    <s v="Y"/>
    <n v="6"/>
    <n v="-2"/>
    <n v="0"/>
    <n v="38"/>
    <n v="0"/>
    <m/>
    <n v="0"/>
    <n v="1"/>
    <n v="397"/>
    <n v="2"/>
    <x v="0"/>
    <n v="1"/>
    <n v="4"/>
    <n v="54"/>
    <n v="2"/>
    <n v="3"/>
    <n v="3"/>
    <n v="7756"/>
    <n v="14199"/>
    <n v="3"/>
    <n v="19"/>
    <n v="3"/>
    <n v="4"/>
    <n v="80"/>
    <n v="1"/>
    <n v="10"/>
    <n v="4"/>
    <n v="5"/>
    <n v="4"/>
    <n v="0"/>
    <n v="2"/>
  </r>
  <r>
    <s v="No"/>
    <s v="Travel_Rarely"/>
    <x v="0"/>
    <s v="Current Employees"/>
    <x v="1"/>
    <x v="0"/>
    <s v="STAFF-1614"/>
    <n v="1614"/>
    <x v="0"/>
    <x v="3"/>
    <x v="1"/>
    <s v="Yes"/>
    <s v="Y"/>
    <n v="2"/>
    <n v="-2"/>
    <n v="0"/>
    <n v="36"/>
    <n v="0"/>
    <m/>
    <n v="0"/>
    <n v="1"/>
    <n v="559"/>
    <n v="12"/>
    <x v="2"/>
    <n v="1"/>
    <n v="3"/>
    <n v="76"/>
    <n v="3"/>
    <n v="2"/>
    <n v="3"/>
    <n v="4663"/>
    <n v="12421"/>
    <n v="9"/>
    <n v="12"/>
    <n v="3"/>
    <n v="2"/>
    <n v="80"/>
    <n v="2"/>
    <n v="7"/>
    <n v="3"/>
    <n v="3"/>
    <n v="2"/>
    <n v="1"/>
    <n v="1"/>
  </r>
  <r>
    <s v="No"/>
    <s v="Travel_Rarely"/>
    <x v="0"/>
    <s v="Current Employees"/>
    <x v="1"/>
    <x v="2"/>
    <s v="STAFF-1587"/>
    <n v="1587"/>
    <x v="0"/>
    <x v="4"/>
    <x v="0"/>
    <s v="Yes"/>
    <s v="Y"/>
    <n v="4"/>
    <n v="-2"/>
    <n v="0"/>
    <n v="35"/>
    <n v="0"/>
    <m/>
    <n v="0"/>
    <n v="1"/>
    <n v="670"/>
    <n v="10"/>
    <x v="2"/>
    <n v="1"/>
    <n v="1"/>
    <n v="51"/>
    <n v="3"/>
    <n v="2"/>
    <n v="3"/>
    <n v="6142"/>
    <n v="4223"/>
    <n v="3"/>
    <n v="16"/>
    <n v="3"/>
    <n v="3"/>
    <n v="80"/>
    <n v="0"/>
    <n v="10"/>
    <n v="3"/>
    <n v="5"/>
    <n v="2"/>
    <n v="0"/>
    <n v="4"/>
  </r>
  <r>
    <s v="No"/>
    <s v="Travel_Rarely"/>
    <x v="1"/>
    <s v="Current Employees"/>
    <x v="1"/>
    <x v="2"/>
    <s v="STAFF-1611"/>
    <n v="1611"/>
    <x v="0"/>
    <x v="2"/>
    <x v="0"/>
    <s v="Yes"/>
    <s v="Y"/>
    <n v="3"/>
    <n v="-2"/>
    <n v="0"/>
    <n v="45"/>
    <n v="0"/>
    <m/>
    <n v="0"/>
    <n v="1"/>
    <n v="1015"/>
    <n v="5"/>
    <x v="4"/>
    <n v="1"/>
    <n v="3"/>
    <n v="50"/>
    <n v="1"/>
    <n v="2"/>
    <n v="1"/>
    <n v="5769"/>
    <n v="23447"/>
    <n v="1"/>
    <n v="14"/>
    <n v="3"/>
    <n v="1"/>
    <n v="80"/>
    <n v="0"/>
    <n v="10"/>
    <n v="3"/>
    <n v="10"/>
    <n v="7"/>
    <n v="1"/>
    <n v="4"/>
  </r>
  <r>
    <s v="No"/>
    <s v="Travel_Rarely"/>
    <x v="1"/>
    <s v="Current Employees"/>
    <x v="1"/>
    <x v="2"/>
    <s v="STAFF-1980"/>
    <n v="1980"/>
    <x v="0"/>
    <x v="3"/>
    <x v="0"/>
    <s v="Yes"/>
    <s v="Y"/>
    <n v="3"/>
    <n v="-2"/>
    <n v="0"/>
    <n v="54"/>
    <n v="0"/>
    <m/>
    <n v="0"/>
    <n v="1"/>
    <n v="157"/>
    <n v="10"/>
    <x v="3"/>
    <n v="1"/>
    <n v="3"/>
    <n v="77"/>
    <n v="3"/>
    <n v="2"/>
    <n v="1"/>
    <n v="4440"/>
    <n v="25198"/>
    <n v="6"/>
    <n v="19"/>
    <n v="3"/>
    <n v="4"/>
    <n v="80"/>
    <n v="0"/>
    <n v="9"/>
    <n v="3"/>
    <n v="5"/>
    <n v="2"/>
    <n v="1"/>
    <n v="4"/>
  </r>
  <r>
    <s v="No"/>
    <s v="Travel_Rarely"/>
    <x v="0"/>
    <s v="Current Employees"/>
    <x v="1"/>
    <x v="0"/>
    <s v="STAFF-1641"/>
    <n v="1641"/>
    <x v="0"/>
    <x v="3"/>
    <x v="0"/>
    <s v="Yes"/>
    <s v="Y"/>
    <n v="2"/>
    <n v="-2"/>
    <n v="0"/>
    <n v="40"/>
    <n v="0"/>
    <m/>
    <n v="0"/>
    <n v="1"/>
    <n v="448"/>
    <n v="16"/>
    <x v="3"/>
    <n v="1"/>
    <n v="3"/>
    <n v="84"/>
    <n v="3"/>
    <n v="3"/>
    <n v="4"/>
    <n v="7945"/>
    <n v="19948"/>
    <n v="6"/>
    <n v="15"/>
    <n v="3"/>
    <n v="4"/>
    <n v="80"/>
    <n v="0"/>
    <n v="18"/>
    <n v="2"/>
    <n v="4"/>
    <n v="2"/>
    <n v="3"/>
    <n v="3"/>
  </r>
  <r>
    <s v="No"/>
    <s v="Travel_Rarely"/>
    <x v="0"/>
    <s v="Current Employees"/>
    <x v="0"/>
    <x v="3"/>
    <s v="STAFF-1815"/>
    <n v="1815"/>
    <x v="0"/>
    <x v="0"/>
    <x v="2"/>
    <s v="Yes"/>
    <s v="Y"/>
    <n v="3"/>
    <n v="-2"/>
    <n v="0"/>
    <n v="41"/>
    <n v="0"/>
    <m/>
    <n v="0"/>
    <n v="1"/>
    <n v="796"/>
    <n v="4"/>
    <x v="1"/>
    <n v="1"/>
    <n v="3"/>
    <n v="81"/>
    <n v="3"/>
    <n v="3"/>
    <n v="1"/>
    <n v="10447"/>
    <n v="26458"/>
    <n v="0"/>
    <n v="13"/>
    <n v="3"/>
    <n v="4"/>
    <n v="80"/>
    <n v="1"/>
    <n v="23"/>
    <n v="4"/>
    <n v="22"/>
    <n v="14"/>
    <n v="13"/>
    <n v="5"/>
  </r>
  <r>
    <s v="No"/>
    <s v="Travel_Rarely"/>
    <x v="2"/>
    <s v="Current Employees"/>
    <x v="0"/>
    <x v="2"/>
    <s v="STAFF-1912"/>
    <n v="1912"/>
    <x v="0"/>
    <x v="0"/>
    <x v="2"/>
    <s v="Yes"/>
    <s v="Y"/>
    <n v="2"/>
    <n v="-2"/>
    <n v="0"/>
    <n v="31"/>
    <n v="0"/>
    <m/>
    <n v="0"/>
    <n v="1"/>
    <n v="1079"/>
    <n v="10"/>
    <x v="0"/>
    <n v="1"/>
    <n v="3"/>
    <n v="86"/>
    <n v="3"/>
    <n v="2"/>
    <n v="4"/>
    <n v="6583"/>
    <n v="20115"/>
    <n v="2"/>
    <n v="11"/>
    <n v="3"/>
    <n v="4"/>
    <n v="80"/>
    <n v="1"/>
    <n v="8"/>
    <n v="3"/>
    <n v="5"/>
    <n v="2"/>
    <n v="1"/>
    <n v="4"/>
  </r>
  <r>
    <s v="No"/>
    <s v="Travel_Rarely"/>
    <x v="0"/>
    <s v="Current Employees"/>
    <x v="0"/>
    <x v="0"/>
    <s v="STAFF-1962"/>
    <n v="1962"/>
    <x v="0"/>
    <x v="0"/>
    <x v="1"/>
    <s v="Yes"/>
    <s v="Y"/>
    <n v="2"/>
    <n v="-2"/>
    <n v="0"/>
    <n v="35"/>
    <n v="0"/>
    <m/>
    <n v="0"/>
    <n v="1"/>
    <n v="1224"/>
    <n v="7"/>
    <x v="2"/>
    <n v="1"/>
    <n v="3"/>
    <n v="55"/>
    <n v="3"/>
    <n v="2"/>
    <n v="4"/>
    <n v="5204"/>
    <n v="13586"/>
    <n v="1"/>
    <n v="11"/>
    <n v="3"/>
    <n v="4"/>
    <n v="80"/>
    <n v="0"/>
    <n v="10"/>
    <n v="3"/>
    <n v="10"/>
    <n v="8"/>
    <n v="0"/>
    <n v="9"/>
  </r>
  <r>
    <s v="No"/>
    <s v="Travel_Rarely"/>
    <x v="2"/>
    <s v="Current Employees"/>
    <x v="0"/>
    <x v="2"/>
    <s v="STAFF-1915"/>
    <n v="1915"/>
    <x v="0"/>
    <x v="0"/>
    <x v="1"/>
    <s v="Yes"/>
    <s v="Y"/>
    <n v="3"/>
    <n v="-2"/>
    <n v="0"/>
    <n v="34"/>
    <n v="0"/>
    <m/>
    <n v="0"/>
    <n v="1"/>
    <n v="735"/>
    <n v="3"/>
    <x v="1"/>
    <n v="1"/>
    <n v="4"/>
    <n v="75"/>
    <n v="2"/>
    <n v="2"/>
    <n v="4"/>
    <n v="8103"/>
    <n v="16495"/>
    <n v="3"/>
    <n v="12"/>
    <n v="3"/>
    <n v="3"/>
    <n v="80"/>
    <n v="0"/>
    <n v="9"/>
    <n v="2"/>
    <n v="4"/>
    <n v="2"/>
    <n v="0"/>
    <n v="1"/>
  </r>
  <r>
    <s v="No"/>
    <s v="Travel_Rarely"/>
    <x v="0"/>
    <s v="Current Employees"/>
    <x v="0"/>
    <x v="4"/>
    <s v="STAFF-1880"/>
    <n v="1880"/>
    <x v="0"/>
    <x v="0"/>
    <x v="1"/>
    <s v="Yes"/>
    <s v="Y"/>
    <n v="4"/>
    <n v="-2"/>
    <n v="0"/>
    <n v="36"/>
    <n v="0"/>
    <m/>
    <n v="0"/>
    <n v="1"/>
    <n v="1266"/>
    <n v="10"/>
    <x v="2"/>
    <n v="1"/>
    <n v="4"/>
    <n v="63"/>
    <n v="2"/>
    <n v="2"/>
    <n v="4"/>
    <n v="5673"/>
    <n v="6060"/>
    <n v="1"/>
    <n v="13"/>
    <n v="3"/>
    <n v="1"/>
    <n v="80"/>
    <n v="1"/>
    <n v="10"/>
    <n v="3"/>
    <n v="10"/>
    <n v="9"/>
    <n v="1"/>
    <n v="7"/>
  </r>
  <r>
    <s v="No"/>
    <s v="Travel_Rarely"/>
    <x v="1"/>
    <s v="Current Employees"/>
    <x v="0"/>
    <x v="2"/>
    <s v="STAFF-1503"/>
    <n v="1503"/>
    <x v="0"/>
    <x v="0"/>
    <x v="1"/>
    <s v="Yes"/>
    <s v="Y"/>
    <n v="4"/>
    <n v="-2"/>
    <n v="0"/>
    <n v="47"/>
    <n v="0"/>
    <m/>
    <n v="0"/>
    <n v="1"/>
    <n v="571"/>
    <n v="14"/>
    <x v="3"/>
    <n v="1"/>
    <n v="3"/>
    <n v="78"/>
    <n v="3"/>
    <n v="2"/>
    <n v="3"/>
    <n v="4591"/>
    <n v="24200"/>
    <n v="3"/>
    <n v="17"/>
    <n v="3"/>
    <n v="3"/>
    <n v="80"/>
    <n v="1"/>
    <n v="11"/>
    <n v="2"/>
    <n v="5"/>
    <n v="4"/>
    <n v="1"/>
    <n v="2"/>
  </r>
  <r>
    <s v="No"/>
    <s v="Travel_Rarely"/>
    <x v="3"/>
    <s v="Current Employees"/>
    <x v="0"/>
    <x v="0"/>
    <s v="STAFF-1938"/>
    <n v="1938"/>
    <x v="0"/>
    <x v="5"/>
    <x v="1"/>
    <s v="Yes"/>
    <s v="Y"/>
    <n v="2"/>
    <n v="-2"/>
    <n v="0"/>
    <n v="58"/>
    <n v="0"/>
    <m/>
    <n v="0"/>
    <n v="1"/>
    <n v="605"/>
    <n v="21"/>
    <x v="3"/>
    <n v="1"/>
    <n v="4"/>
    <n v="72"/>
    <n v="3"/>
    <n v="4"/>
    <n v="4"/>
    <n v="17875"/>
    <n v="11761"/>
    <n v="4"/>
    <n v="13"/>
    <n v="3"/>
    <n v="3"/>
    <n v="80"/>
    <n v="1"/>
    <n v="29"/>
    <n v="2"/>
    <n v="1"/>
    <n v="0"/>
    <n v="0"/>
    <n v="0"/>
  </r>
  <r>
    <s v="No"/>
    <s v="Travel_Rarely"/>
    <x v="4"/>
    <s v="Current Employees"/>
    <x v="0"/>
    <x v="2"/>
    <s v="STAFF-1445"/>
    <n v="1445"/>
    <x v="0"/>
    <x v="0"/>
    <x v="1"/>
    <s v="Yes"/>
    <s v="Y"/>
    <n v="3"/>
    <n v="-2"/>
    <n v="0"/>
    <n v="24"/>
    <n v="0"/>
    <m/>
    <n v="0"/>
    <n v="1"/>
    <n v="1476"/>
    <n v="4"/>
    <x v="1"/>
    <n v="1"/>
    <n v="4"/>
    <n v="42"/>
    <n v="3"/>
    <n v="2"/>
    <n v="3"/>
    <n v="4162"/>
    <n v="15211"/>
    <n v="1"/>
    <n v="12"/>
    <n v="3"/>
    <n v="3"/>
    <n v="80"/>
    <n v="2"/>
    <n v="5"/>
    <n v="3"/>
    <n v="5"/>
    <n v="4"/>
    <n v="0"/>
    <n v="3"/>
  </r>
  <r>
    <s v="No"/>
    <s v="Travel_Rarely"/>
    <x v="0"/>
    <s v="Current Employees"/>
    <x v="0"/>
    <x v="3"/>
    <s v="STAFF-1425"/>
    <n v="1425"/>
    <x v="0"/>
    <x v="0"/>
    <x v="0"/>
    <s v="Yes"/>
    <s v="Y"/>
    <n v="3"/>
    <n v="-2"/>
    <n v="0"/>
    <n v="36"/>
    <n v="0"/>
    <m/>
    <n v="0"/>
    <n v="1"/>
    <n v="1174"/>
    <n v="3"/>
    <x v="2"/>
    <n v="1"/>
    <n v="1"/>
    <n v="99"/>
    <n v="3"/>
    <n v="2"/>
    <n v="1"/>
    <n v="9278"/>
    <n v="20763"/>
    <n v="3"/>
    <n v="16"/>
    <n v="3"/>
    <n v="4"/>
    <n v="80"/>
    <n v="0"/>
    <n v="15"/>
    <n v="3"/>
    <n v="5"/>
    <n v="4"/>
    <n v="0"/>
    <n v="1"/>
  </r>
  <r>
    <s v="No"/>
    <s v="Non-Travel"/>
    <x v="0"/>
    <s v="Current Employees"/>
    <x v="1"/>
    <x v="0"/>
    <s v="STAFF-1552"/>
    <n v="1552"/>
    <x v="1"/>
    <x v="4"/>
    <x v="2"/>
    <s v="Yes"/>
    <s v="Y"/>
    <n v="2"/>
    <n v="-2"/>
    <n v="0"/>
    <n v="40"/>
    <n v="0"/>
    <m/>
    <n v="0"/>
    <n v="1"/>
    <n v="1142"/>
    <n v="8"/>
    <x v="0"/>
    <n v="1"/>
    <n v="4"/>
    <n v="72"/>
    <n v="3"/>
    <n v="2"/>
    <n v="4"/>
    <n v="4069"/>
    <n v="8841"/>
    <n v="3"/>
    <n v="18"/>
    <n v="3"/>
    <n v="3"/>
    <n v="80"/>
    <n v="0"/>
    <n v="8"/>
    <n v="3"/>
    <n v="2"/>
    <n v="2"/>
    <n v="2"/>
    <n v="2"/>
  </r>
  <r>
    <s v="No"/>
    <s v="Non-Travel"/>
    <x v="2"/>
    <s v="Current Employees"/>
    <x v="1"/>
    <x v="2"/>
    <s v="STAFF-1948"/>
    <n v="1948"/>
    <x v="1"/>
    <x v="1"/>
    <x v="2"/>
    <s v="Yes"/>
    <s v="Y"/>
    <n v="3"/>
    <n v="-2"/>
    <n v="0"/>
    <n v="31"/>
    <n v="0"/>
    <m/>
    <n v="0"/>
    <n v="1"/>
    <n v="976"/>
    <n v="3"/>
    <x v="0"/>
    <n v="1"/>
    <n v="3"/>
    <n v="48"/>
    <n v="3"/>
    <n v="1"/>
    <n v="1"/>
    <n v="3065"/>
    <n v="3995"/>
    <n v="1"/>
    <n v="13"/>
    <n v="3"/>
    <n v="4"/>
    <n v="80"/>
    <n v="1"/>
    <n v="4"/>
    <n v="4"/>
    <n v="4"/>
    <n v="2"/>
    <n v="2"/>
    <n v="3"/>
  </r>
  <r>
    <s v="No"/>
    <s v="Non-Travel"/>
    <x v="0"/>
    <s v="Current Employees"/>
    <x v="1"/>
    <x v="0"/>
    <s v="STAFF-1737"/>
    <n v="1737"/>
    <x v="1"/>
    <x v="2"/>
    <x v="1"/>
    <s v="Yes"/>
    <s v="Y"/>
    <n v="2"/>
    <n v="-2"/>
    <n v="0"/>
    <n v="39"/>
    <n v="0"/>
    <m/>
    <n v="0"/>
    <n v="1"/>
    <n v="792"/>
    <n v="1"/>
    <x v="3"/>
    <n v="1"/>
    <n v="4"/>
    <n v="77"/>
    <n v="3"/>
    <n v="2"/>
    <n v="4"/>
    <n v="6472"/>
    <n v="8989"/>
    <n v="1"/>
    <n v="15"/>
    <n v="3"/>
    <n v="4"/>
    <n v="80"/>
    <n v="1"/>
    <n v="9"/>
    <n v="3"/>
    <n v="9"/>
    <n v="8"/>
    <n v="5"/>
    <n v="8"/>
  </r>
  <r>
    <s v="No"/>
    <s v="Non-Travel"/>
    <x v="2"/>
    <s v="Current Employees"/>
    <x v="0"/>
    <x v="0"/>
    <s v="STAFF-1774"/>
    <n v="1774"/>
    <x v="1"/>
    <x v="0"/>
    <x v="2"/>
    <s v="Yes"/>
    <s v="Y"/>
    <n v="3"/>
    <n v="-2"/>
    <n v="0"/>
    <n v="34"/>
    <n v="0"/>
    <m/>
    <n v="0"/>
    <n v="1"/>
    <n v="1375"/>
    <n v="10"/>
    <x v="3"/>
    <n v="1"/>
    <n v="4"/>
    <n v="87"/>
    <n v="3"/>
    <n v="2"/>
    <n v="3"/>
    <n v="4001"/>
    <n v="12313"/>
    <n v="1"/>
    <n v="14"/>
    <n v="3"/>
    <n v="3"/>
    <n v="80"/>
    <n v="1"/>
    <n v="15"/>
    <n v="3"/>
    <n v="15"/>
    <n v="14"/>
    <n v="0"/>
    <n v="7"/>
  </r>
  <r>
    <s v="No"/>
    <s v="Travel_Frequently"/>
    <x v="0"/>
    <s v="Current Employees"/>
    <x v="2"/>
    <x v="5"/>
    <s v="STAFF-1642"/>
    <n v="1642"/>
    <x v="1"/>
    <x v="8"/>
    <x v="1"/>
    <s v="Yes"/>
    <s v="Y"/>
    <n v="3"/>
    <n v="-2"/>
    <n v="0"/>
    <n v="44"/>
    <n v="0"/>
    <m/>
    <n v="0"/>
    <n v="1"/>
    <n v="602"/>
    <n v="1"/>
    <x v="4"/>
    <n v="1"/>
    <n v="1"/>
    <n v="37"/>
    <n v="3"/>
    <n v="2"/>
    <n v="4"/>
    <n v="5743"/>
    <n v="10503"/>
    <n v="4"/>
    <n v="11"/>
    <n v="3"/>
    <n v="3"/>
    <n v="80"/>
    <n v="0"/>
    <n v="14"/>
    <n v="3"/>
    <n v="10"/>
    <n v="7"/>
    <n v="0"/>
    <n v="2"/>
  </r>
  <r>
    <s v="No"/>
    <s v="Travel_Frequently"/>
    <x v="0"/>
    <s v="Current Employees"/>
    <x v="2"/>
    <x v="1"/>
    <s v="STAFF-1972"/>
    <n v="1972"/>
    <x v="1"/>
    <x v="8"/>
    <x v="1"/>
    <s v="Yes"/>
    <s v="Y"/>
    <n v="2"/>
    <n v="-2"/>
    <n v="0"/>
    <n v="38"/>
    <n v="0"/>
    <m/>
    <n v="0"/>
    <n v="1"/>
    <n v="1444"/>
    <n v="1"/>
    <x v="2"/>
    <n v="1"/>
    <n v="4"/>
    <n v="88"/>
    <n v="3"/>
    <n v="1"/>
    <n v="2"/>
    <n v="2991"/>
    <n v="5224"/>
    <n v="0"/>
    <n v="11"/>
    <n v="3"/>
    <n v="2"/>
    <n v="80"/>
    <n v="1"/>
    <n v="7"/>
    <n v="3"/>
    <n v="6"/>
    <n v="2"/>
    <n v="1"/>
    <n v="2"/>
  </r>
  <r>
    <s v="No"/>
    <s v="Travel_Frequently"/>
    <x v="3"/>
    <s v="Current Employees"/>
    <x v="1"/>
    <x v="0"/>
    <s v="STAFF-1837"/>
    <n v="1837"/>
    <x v="1"/>
    <x v="7"/>
    <x v="1"/>
    <s v="Yes"/>
    <s v="Y"/>
    <n v="3"/>
    <n v="-2"/>
    <n v="0"/>
    <n v="58"/>
    <n v="0"/>
    <m/>
    <n v="0"/>
    <n v="1"/>
    <n v="1216"/>
    <n v="15"/>
    <x v="2"/>
    <n v="1"/>
    <n v="1"/>
    <n v="87"/>
    <n v="3"/>
    <n v="4"/>
    <n v="3"/>
    <n v="15787"/>
    <n v="21624"/>
    <n v="2"/>
    <n v="14"/>
    <n v="3"/>
    <n v="2"/>
    <n v="80"/>
    <n v="0"/>
    <n v="23"/>
    <n v="3"/>
    <n v="2"/>
    <n v="2"/>
    <n v="2"/>
    <n v="2"/>
  </r>
  <r>
    <s v="No"/>
    <s v="Travel_Frequently"/>
    <x v="2"/>
    <s v="Current Employees"/>
    <x v="1"/>
    <x v="1"/>
    <s v="STAFF-1932"/>
    <n v="1932"/>
    <x v="1"/>
    <x v="1"/>
    <x v="1"/>
    <s v="Yes"/>
    <s v="Y"/>
    <n v="3"/>
    <n v="-2"/>
    <n v="0"/>
    <n v="34"/>
    <n v="0"/>
    <m/>
    <n v="0"/>
    <n v="1"/>
    <n v="735"/>
    <n v="22"/>
    <x v="2"/>
    <n v="1"/>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n v="3"/>
    <n v="4"/>
    <n v="80"/>
    <n v="1"/>
    <n v="9"/>
    <n v="3"/>
    <n v="3"/>
    <n v="2"/>
    <n v="0"/>
    <n v="2"/>
  </r>
  <r>
    <s v="No"/>
    <s v="Travel_Frequently"/>
    <x v="1"/>
    <s v="Current Employees"/>
    <x v="1"/>
    <x v="2"/>
    <s v="STAFF-1606"/>
    <n v="1606"/>
    <x v="1"/>
    <x v="4"/>
    <x v="1"/>
    <s v="Yes"/>
    <s v="Y"/>
    <n v="3"/>
    <n v="-2"/>
    <n v="0"/>
    <n v="50"/>
    <n v="0"/>
    <m/>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n v="3"/>
    <n v="4"/>
    <n v="80"/>
    <n v="2"/>
    <n v="10"/>
    <n v="4"/>
    <n v="10"/>
    <n v="2"/>
    <n v="0"/>
    <n v="2"/>
  </r>
  <r>
    <s v="No"/>
    <s v="Travel_Frequently"/>
    <x v="0"/>
    <s v="Current Employees"/>
    <x v="1"/>
    <x v="2"/>
    <s v="STAFF-1704"/>
    <n v="1704"/>
    <x v="1"/>
    <x v="1"/>
    <x v="0"/>
    <s v="Yes"/>
    <s v="Y"/>
    <n v="2"/>
    <n v="-2"/>
    <n v="0"/>
    <n v="35"/>
    <n v="0"/>
    <m/>
    <n v="0"/>
    <n v="1"/>
    <n v="146"/>
    <n v="2"/>
    <x v="2"/>
    <n v="1"/>
    <n v="1"/>
    <n v="79"/>
    <n v="2"/>
    <n v="1"/>
    <n v="4"/>
    <n v="4930"/>
    <n v="13970"/>
    <n v="0"/>
    <n v="14"/>
    <n v="3"/>
    <n v="3"/>
    <n v="80"/>
    <n v="0"/>
    <n v="6"/>
    <n v="4"/>
    <n v="5"/>
    <n v="4"/>
    <n v="1"/>
    <n v="4"/>
  </r>
  <r>
    <s v="No"/>
    <s v="Travel_Frequently"/>
    <x v="0"/>
    <s v="Current Employees"/>
    <x v="1"/>
    <x v="2"/>
    <s v="STAFF-1496"/>
    <n v="1496"/>
    <x v="1"/>
    <x v="3"/>
    <x v="0"/>
    <s v="Yes"/>
    <s v="Y"/>
    <n v="2"/>
    <n v="-2"/>
    <n v="0"/>
    <n v="44"/>
    <n v="0"/>
    <m/>
    <n v="0"/>
    <n v="1"/>
    <n v="1193"/>
    <n v="2"/>
    <x v="1"/>
    <n v="1"/>
    <n v="2"/>
    <n v="86"/>
    <n v="3"/>
    <n v="3"/>
    <n v="3"/>
    <n v="10209"/>
    <n v="19719"/>
    <n v="5"/>
    <n v="18"/>
    <n v="3"/>
    <n v="2"/>
    <n v="80"/>
    <n v="0"/>
    <n v="16"/>
    <n v="2"/>
    <n v="2"/>
    <n v="2"/>
    <n v="2"/>
    <n v="2"/>
  </r>
  <r>
    <s v="No"/>
    <s v="Travel_Frequently"/>
    <x v="1"/>
    <s v="Current Employees"/>
    <x v="1"/>
    <x v="2"/>
    <s v="STAFF-1539"/>
    <n v="1539"/>
    <x v="1"/>
    <x v="7"/>
    <x v="0"/>
    <s v="Yes"/>
    <s v="Y"/>
    <n v="2"/>
    <n v="-2"/>
    <n v="0"/>
    <n v="50"/>
    <n v="0"/>
    <m/>
    <n v="0"/>
    <n v="1"/>
    <n v="333"/>
    <n v="22"/>
    <x v="4"/>
    <n v="1"/>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n v="1"/>
    <n v="4"/>
    <n v="70"/>
    <n v="4"/>
    <n v="2"/>
    <n v="3"/>
    <n v="6294"/>
    <n v="23060"/>
    <n v="8"/>
    <n v="12"/>
    <n v="3"/>
    <n v="4"/>
    <n v="80"/>
    <n v="0"/>
    <n v="10"/>
    <n v="4"/>
    <n v="3"/>
    <n v="2"/>
    <n v="0"/>
    <n v="2"/>
  </r>
  <r>
    <s v="No"/>
    <s v="Travel_Frequently"/>
    <x v="2"/>
    <s v="Current Employees"/>
    <x v="0"/>
    <x v="0"/>
    <s v="STAFF-1927"/>
    <n v="1927"/>
    <x v="1"/>
    <x v="0"/>
    <x v="1"/>
    <s v="Yes"/>
    <s v="Y"/>
    <n v="2"/>
    <n v="-2"/>
    <n v="0"/>
    <n v="28"/>
    <n v="0"/>
    <m/>
    <n v="0"/>
    <n v="1"/>
    <n v="783"/>
    <n v="1"/>
    <x v="0"/>
    <n v="1"/>
    <n v="3"/>
    <n v="42"/>
    <n v="2"/>
    <n v="2"/>
    <n v="4"/>
    <n v="6834"/>
    <n v="19255"/>
    <n v="1"/>
    <n v="12"/>
    <n v="3"/>
    <n v="3"/>
    <n v="80"/>
    <n v="1"/>
    <n v="7"/>
    <n v="3"/>
    <n v="7"/>
    <n v="7"/>
    <n v="0"/>
    <n v="7"/>
  </r>
  <r>
    <s v="No"/>
    <s v="Travel_Rarely"/>
    <x v="3"/>
    <s v="Current Employees"/>
    <x v="2"/>
    <x v="5"/>
    <s v="STAFF-1973"/>
    <n v="1973"/>
    <x v="1"/>
    <x v="5"/>
    <x v="1"/>
    <s v="Yes"/>
    <s v="Y"/>
    <n v="0"/>
    <n v="-2"/>
    <n v="0"/>
    <n v="55"/>
    <n v="0"/>
    <m/>
    <n v="0"/>
    <n v="1"/>
    <n v="189"/>
    <n v="26"/>
    <x v="2"/>
    <n v="1"/>
    <n v="3"/>
    <n v="71"/>
    <n v="4"/>
    <n v="5"/>
    <n v="2"/>
    <n v="19636"/>
    <n v="25811"/>
    <n v="4"/>
    <n v="18"/>
    <n v="3"/>
    <n v="1"/>
    <n v="80"/>
    <n v="1"/>
    <n v="35"/>
    <n v="3"/>
    <n v="10"/>
    <n v="9"/>
    <n v="1"/>
    <n v="4"/>
  </r>
  <r>
    <s v="No"/>
    <s v="Travel_Rarely"/>
    <x v="1"/>
    <s v="Current Employees"/>
    <x v="1"/>
    <x v="2"/>
    <s v="STAFF-1460"/>
    <n v="1460"/>
    <x v="1"/>
    <x v="4"/>
    <x v="2"/>
    <s v="Yes"/>
    <s v="Y"/>
    <n v="2"/>
    <n v="-2"/>
    <n v="0"/>
    <n v="45"/>
    <n v="0"/>
    <m/>
    <n v="0"/>
    <n v="1"/>
    <n v="1038"/>
    <n v="20"/>
    <x v="3"/>
    <n v="1"/>
    <n v="2"/>
    <n v="95"/>
    <n v="1"/>
    <n v="3"/>
    <n v="1"/>
    <n v="10851"/>
    <n v="19863"/>
    <n v="2"/>
    <n v="18"/>
    <n v="3"/>
    <n v="2"/>
    <n v="80"/>
    <n v="1"/>
    <n v="24"/>
    <n v="3"/>
    <n v="7"/>
    <n v="7"/>
    <n v="0"/>
    <n v="7"/>
  </r>
  <r>
    <s v="No"/>
    <s v="Travel_Rarely"/>
    <x v="1"/>
    <s v="Current Employees"/>
    <x v="1"/>
    <x v="2"/>
    <s v="STAFF-1789"/>
    <n v="1789"/>
    <x v="1"/>
    <x v="7"/>
    <x v="2"/>
    <s v="Yes"/>
    <s v="Y"/>
    <n v="3"/>
    <n v="-2"/>
    <n v="0"/>
    <n v="46"/>
    <n v="0"/>
    <m/>
    <n v="0"/>
    <n v="1"/>
    <n v="734"/>
    <n v="2"/>
    <x v="2"/>
    <n v="1"/>
    <n v="3"/>
    <n v="46"/>
    <n v="3"/>
    <n v="5"/>
    <n v="4"/>
    <n v="19328"/>
    <n v="14218"/>
    <n v="7"/>
    <n v="17"/>
    <n v="3"/>
    <n v="3"/>
    <n v="80"/>
    <n v="1"/>
    <n v="24"/>
    <n v="3"/>
    <n v="2"/>
    <n v="1"/>
    <n v="2"/>
    <n v="2"/>
  </r>
  <r>
    <s v="No"/>
    <s v="Travel_Rarely"/>
    <x v="0"/>
    <s v="Current Employees"/>
    <x v="1"/>
    <x v="0"/>
    <s v="STAFF-1998"/>
    <n v="1998"/>
    <x v="1"/>
    <x v="1"/>
    <x v="2"/>
    <s v="Yes"/>
    <s v="Y"/>
    <n v="3"/>
    <n v="-2"/>
    <n v="0"/>
    <n v="42"/>
    <n v="0"/>
    <m/>
    <n v="0"/>
    <n v="1"/>
    <n v="557"/>
    <n v="18"/>
    <x v="2"/>
    <n v="1"/>
    <n v="4"/>
    <n v="35"/>
    <n v="3"/>
    <n v="2"/>
    <n v="1"/>
    <n v="5410"/>
    <n v="11189"/>
    <n v="6"/>
    <n v="17"/>
    <n v="3"/>
    <n v="3"/>
    <n v="80"/>
    <n v="1"/>
    <n v="9"/>
    <n v="2"/>
    <n v="4"/>
    <n v="3"/>
    <n v="1"/>
    <n v="2"/>
  </r>
  <r>
    <s v="No"/>
    <s v="Travel_Rarely"/>
    <x v="2"/>
    <s v="Current Employees"/>
    <x v="1"/>
    <x v="1"/>
    <s v="STAFF-1992"/>
    <n v="1992"/>
    <x v="1"/>
    <x v="2"/>
    <x v="2"/>
    <s v="Yes"/>
    <s v="Y"/>
    <n v="2"/>
    <n v="-2"/>
    <n v="0"/>
    <n v="25"/>
    <n v="0"/>
    <m/>
    <n v="0"/>
    <n v="1"/>
    <n v="977"/>
    <n v="2"/>
    <x v="1"/>
    <n v="1"/>
    <n v="4"/>
    <n v="57"/>
    <n v="3"/>
    <n v="1"/>
    <n v="3"/>
    <n v="3977"/>
    <n v="7298"/>
    <n v="6"/>
    <n v="19"/>
    <n v="3"/>
    <n v="3"/>
    <n v="80"/>
    <n v="1"/>
    <n v="7"/>
    <n v="2"/>
    <n v="2"/>
    <n v="2"/>
    <n v="0"/>
    <n v="2"/>
  </r>
  <r>
    <s v="No"/>
    <s v="Travel_Rarely"/>
    <x v="0"/>
    <s v="Current Employees"/>
    <x v="1"/>
    <x v="2"/>
    <s v="STAFF-1448"/>
    <n v="1448"/>
    <x v="1"/>
    <x v="1"/>
    <x v="1"/>
    <s v="Yes"/>
    <s v="Y"/>
    <n v="5"/>
    <n v="-2"/>
    <n v="0"/>
    <n v="41"/>
    <n v="0"/>
    <m/>
    <n v="0"/>
    <n v="1"/>
    <n v="1283"/>
    <n v="5"/>
    <x v="4"/>
    <n v="1"/>
    <n v="2"/>
    <n v="90"/>
    <n v="4"/>
    <n v="1"/>
    <n v="3"/>
    <n v="2127"/>
    <n v="5561"/>
    <n v="2"/>
    <n v="12"/>
    <n v="3"/>
    <n v="1"/>
    <n v="80"/>
    <n v="0"/>
    <n v="7"/>
    <n v="2"/>
    <n v="4"/>
    <n v="2"/>
    <n v="0"/>
    <n v="3"/>
  </r>
  <r>
    <s v="No"/>
    <s v="Travel_Rarely"/>
    <x v="3"/>
    <s v="Current Employees"/>
    <x v="1"/>
    <x v="0"/>
    <s v="STAFF-1501"/>
    <n v="1501"/>
    <x v="1"/>
    <x v="4"/>
    <x v="1"/>
    <s v="Yes"/>
    <s v="Y"/>
    <n v="2"/>
    <n v="-2"/>
    <n v="0"/>
    <n v="55"/>
    <n v="0"/>
    <m/>
    <n v="0"/>
    <n v="1"/>
    <n v="1229"/>
    <n v="4"/>
    <x v="2"/>
    <n v="1"/>
    <n v="4"/>
    <n v="30"/>
    <n v="3"/>
    <n v="2"/>
    <n v="3"/>
    <n v="4035"/>
    <n v="16143"/>
    <n v="0"/>
    <n v="16"/>
    <n v="3"/>
    <n v="2"/>
    <n v="80"/>
    <n v="0"/>
    <n v="4"/>
    <n v="3"/>
    <n v="3"/>
    <n v="2"/>
    <n v="1"/>
    <n v="2"/>
  </r>
  <r>
    <s v="No"/>
    <s v="Travel_Rarely"/>
    <x v="0"/>
    <s v="Current Employees"/>
    <x v="1"/>
    <x v="2"/>
    <s v="STAFF-1766"/>
    <n v="1766"/>
    <x v="1"/>
    <x v="4"/>
    <x v="1"/>
    <s v="Yes"/>
    <s v="Y"/>
    <n v="2"/>
    <n v="-2"/>
    <n v="0"/>
    <n v="38"/>
    <n v="0"/>
    <m/>
    <n v="0"/>
    <n v="1"/>
    <n v="833"/>
    <n v="18"/>
    <x v="3"/>
    <n v="1"/>
    <n v="2"/>
    <n v="60"/>
    <n v="1"/>
    <n v="2"/>
    <n v="4"/>
    <n v="5811"/>
    <n v="24539"/>
    <n v="3"/>
    <n v="16"/>
    <n v="3"/>
    <n v="3"/>
    <n v="80"/>
    <n v="1"/>
    <n v="15"/>
    <n v="3"/>
    <n v="1"/>
    <n v="0"/>
    <n v="1"/>
    <n v="0"/>
  </r>
  <r>
    <s v="No"/>
    <s v="Travel_Rarely"/>
    <x v="2"/>
    <s v="Current Employees"/>
    <x v="1"/>
    <x v="0"/>
    <s v="STAFF-1549"/>
    <n v="1549"/>
    <x v="1"/>
    <x v="2"/>
    <x v="1"/>
    <s v="Yes"/>
    <s v="Y"/>
    <n v="3"/>
    <n v="-2"/>
    <n v="0"/>
    <n v="33"/>
    <n v="0"/>
    <m/>
    <n v="0"/>
    <n v="1"/>
    <n v="589"/>
    <n v="28"/>
    <x v="2"/>
    <n v="1"/>
    <n v="2"/>
    <n v="79"/>
    <n v="3"/>
    <n v="2"/>
    <n v="3"/>
    <n v="5207"/>
    <n v="22949"/>
    <n v="1"/>
    <n v="12"/>
    <n v="3"/>
    <n v="2"/>
    <n v="80"/>
    <n v="1"/>
    <n v="15"/>
    <n v="3"/>
    <n v="15"/>
    <n v="14"/>
    <n v="5"/>
    <n v="7"/>
  </r>
  <r>
    <s v="No"/>
    <s v="Travel_Rarely"/>
    <x v="2"/>
    <s v="Current Employees"/>
    <x v="1"/>
    <x v="1"/>
    <s v="STAFF-2053"/>
    <n v="2053"/>
    <x v="1"/>
    <x v="2"/>
    <x v="1"/>
    <s v="Yes"/>
    <s v="Y"/>
    <n v="2"/>
    <n v="-2"/>
    <n v="0"/>
    <n v="29"/>
    <n v="0"/>
    <m/>
    <n v="0"/>
    <n v="1"/>
    <n v="1378"/>
    <n v="13"/>
    <x v="0"/>
    <n v="1"/>
    <n v="4"/>
    <n v="46"/>
    <n v="2"/>
    <n v="2"/>
    <n v="2"/>
    <n v="4025"/>
    <n v="23679"/>
    <n v="4"/>
    <n v="13"/>
    <n v="3"/>
    <n v="1"/>
    <n v="80"/>
    <n v="1"/>
    <n v="10"/>
    <n v="3"/>
    <n v="4"/>
    <n v="3"/>
    <n v="0"/>
    <n v="3"/>
  </r>
  <r>
    <s v="No"/>
    <s v="Travel_Rarely"/>
    <x v="0"/>
    <s v="Current Employees"/>
    <x v="1"/>
    <x v="0"/>
    <s v="STAFF-1790"/>
    <n v="1790"/>
    <x v="1"/>
    <x v="4"/>
    <x v="1"/>
    <s v="Yes"/>
    <s v="Y"/>
    <n v="1"/>
    <n v="-2"/>
    <n v="0"/>
    <n v="36"/>
    <n v="0"/>
    <m/>
    <n v="0"/>
    <n v="1"/>
    <n v="1383"/>
    <n v="10"/>
    <x v="3"/>
    <n v="1"/>
    <n v="4"/>
    <n v="90"/>
    <n v="3"/>
    <n v="3"/>
    <n v="1"/>
    <n v="8321"/>
    <n v="25949"/>
    <n v="7"/>
    <n v="13"/>
    <n v="3"/>
    <n v="4"/>
    <n v="80"/>
    <n v="1"/>
    <n v="15"/>
    <n v="3"/>
    <n v="12"/>
    <n v="8"/>
    <n v="5"/>
    <n v="7"/>
  </r>
  <r>
    <s v="No"/>
    <s v="Travel_Rarely"/>
    <x v="0"/>
    <s v="Current Employees"/>
    <x v="1"/>
    <x v="2"/>
    <s v="STAFF-2003"/>
    <n v="2003"/>
    <x v="1"/>
    <x v="2"/>
    <x v="1"/>
    <s v="Yes"/>
    <s v="Y"/>
    <n v="3"/>
    <n v="-2"/>
    <n v="0"/>
    <n v="35"/>
    <n v="0"/>
    <m/>
    <n v="0"/>
    <n v="1"/>
    <n v="1490"/>
    <n v="11"/>
    <x v="2"/>
    <n v="1"/>
    <n v="4"/>
    <n v="43"/>
    <n v="3"/>
    <n v="1"/>
    <n v="3"/>
    <n v="2660"/>
    <n v="20232"/>
    <n v="7"/>
    <n v="11"/>
    <n v="3"/>
    <n v="3"/>
    <n v="80"/>
    <n v="1"/>
    <n v="5"/>
    <n v="3"/>
    <n v="2"/>
    <n v="2"/>
    <n v="2"/>
    <n v="2"/>
  </r>
  <r>
    <s v="No"/>
    <s v="Travel_Rarely"/>
    <x v="1"/>
    <s v="Current Employees"/>
    <x v="1"/>
    <x v="4"/>
    <s v="STAFF-1465"/>
    <n v="1465"/>
    <x v="1"/>
    <x v="3"/>
    <x v="1"/>
    <s v="Yes"/>
    <s v="Y"/>
    <n v="4"/>
    <n v="-2"/>
    <n v="0"/>
    <n v="45"/>
    <n v="0"/>
    <m/>
    <n v="0"/>
    <n v="1"/>
    <n v="1448"/>
    <n v="29"/>
    <x v="3"/>
    <n v="1"/>
    <n v="4"/>
    <n v="55"/>
    <n v="3"/>
    <n v="3"/>
    <n v="4"/>
    <n v="9380"/>
    <n v="14720"/>
    <n v="4"/>
    <n v="18"/>
    <n v="3"/>
    <n v="4"/>
    <n v="80"/>
    <n v="2"/>
    <n v="10"/>
    <n v="4"/>
    <n v="3"/>
    <n v="1"/>
    <n v="1"/>
    <n v="2"/>
  </r>
  <r>
    <s v="No"/>
    <s v="Travel_Rarely"/>
    <x v="2"/>
    <s v="Current Employees"/>
    <x v="1"/>
    <x v="2"/>
    <s v="STAFF-1755"/>
    <n v="1755"/>
    <x v="1"/>
    <x v="1"/>
    <x v="1"/>
    <s v="Yes"/>
    <s v="Y"/>
    <n v="3"/>
    <n v="-2"/>
    <n v="0"/>
    <n v="34"/>
    <n v="0"/>
    <m/>
    <n v="0"/>
    <n v="1"/>
    <n v="181"/>
    <n v="2"/>
    <x v="2"/>
    <n v="1"/>
    <n v="4"/>
    <n v="97"/>
    <n v="4"/>
    <n v="1"/>
    <n v="4"/>
    <n v="2932"/>
    <n v="5586"/>
    <n v="0"/>
    <n v="14"/>
    <n v="3"/>
    <n v="1"/>
    <n v="80"/>
    <n v="3"/>
    <n v="6"/>
    <n v="3"/>
    <n v="5"/>
    <n v="0"/>
    <n v="1"/>
    <n v="2"/>
  </r>
  <r>
    <s v="No"/>
    <s v="Travel_Rarely"/>
    <x v="2"/>
    <s v="Current Employees"/>
    <x v="1"/>
    <x v="2"/>
    <s v="STAFF-1586"/>
    <n v="1586"/>
    <x v="1"/>
    <x v="2"/>
    <x v="0"/>
    <s v="Yes"/>
    <s v="Y"/>
    <n v="3"/>
    <n v="-2"/>
    <n v="0"/>
    <n v="29"/>
    <n v="0"/>
    <m/>
    <n v="0"/>
    <n v="1"/>
    <n v="1370"/>
    <n v="3"/>
    <x v="1"/>
    <n v="1"/>
    <n v="2"/>
    <n v="87"/>
    <n v="3"/>
    <n v="1"/>
    <n v="1"/>
    <n v="4723"/>
    <n v="16213"/>
    <n v="1"/>
    <n v="18"/>
    <n v="3"/>
    <n v="4"/>
    <n v="80"/>
    <n v="0"/>
    <n v="10"/>
    <n v="3"/>
    <n v="10"/>
    <n v="9"/>
    <n v="1"/>
    <n v="5"/>
  </r>
  <r>
    <s v="No"/>
    <s v="Travel_Rarely"/>
    <x v="0"/>
    <s v="Current Employees"/>
    <x v="1"/>
    <x v="2"/>
    <s v="STAFF-2020"/>
    <n v="2020"/>
    <x v="1"/>
    <x v="1"/>
    <x v="0"/>
    <s v="Yes"/>
    <s v="Y"/>
    <n v="2"/>
    <n v="-2"/>
    <n v="0"/>
    <n v="44"/>
    <n v="0"/>
    <m/>
    <n v="0"/>
    <n v="1"/>
    <n v="1037"/>
    <n v="1"/>
    <x v="3"/>
    <n v="1"/>
    <n v="2"/>
    <n v="42"/>
    <n v="3"/>
    <n v="1"/>
    <n v="4"/>
    <n v="2436"/>
    <n v="13422"/>
    <n v="6"/>
    <n v="12"/>
    <n v="3"/>
    <n v="3"/>
    <n v="80"/>
    <n v="0"/>
    <n v="6"/>
    <n v="3"/>
    <n v="4"/>
    <n v="3"/>
    <n v="1"/>
    <n v="2"/>
  </r>
  <r>
    <s v="No"/>
    <s v="Travel_Rarely"/>
    <x v="2"/>
    <s v="Current Employees"/>
    <x v="1"/>
    <x v="0"/>
    <s v="STAFF-1515"/>
    <n v="1515"/>
    <x v="1"/>
    <x v="4"/>
    <x v="0"/>
    <s v="Yes"/>
    <s v="Y"/>
    <n v="6"/>
    <n v="-2"/>
    <n v="0"/>
    <n v="33"/>
    <n v="0"/>
    <m/>
    <n v="0"/>
    <n v="1"/>
    <n v="516"/>
    <n v="8"/>
    <x v="4"/>
    <n v="1"/>
    <n v="4"/>
    <n v="69"/>
    <n v="3"/>
    <n v="2"/>
    <n v="3"/>
    <n v="6388"/>
    <n v="22049"/>
    <n v="2"/>
    <n v="17"/>
    <n v="3"/>
    <n v="1"/>
    <n v="80"/>
    <n v="0"/>
    <n v="14"/>
    <n v="3"/>
    <n v="0"/>
    <n v="0"/>
    <n v="0"/>
    <n v="0"/>
  </r>
  <r>
    <s v="No"/>
    <s v="Travel_Rarely"/>
    <x v="2"/>
    <s v="Current Employees"/>
    <x v="0"/>
    <x v="2"/>
    <s v="STAFF-1669"/>
    <n v="1669"/>
    <x v="1"/>
    <x v="0"/>
    <x v="2"/>
    <s v="Yes"/>
    <s v="Y"/>
    <n v="3"/>
    <n v="-2"/>
    <n v="0"/>
    <n v="29"/>
    <n v="0"/>
    <m/>
    <n v="0"/>
    <n v="1"/>
    <n v="991"/>
    <n v="5"/>
    <x v="3"/>
    <n v="1"/>
    <n v="1"/>
    <n v="43"/>
    <n v="2"/>
    <n v="2"/>
    <n v="2"/>
    <n v="4187"/>
    <n v="3356"/>
    <n v="1"/>
    <n v="13"/>
    <n v="3"/>
    <n v="2"/>
    <n v="80"/>
    <n v="1"/>
    <n v="10"/>
    <n v="2"/>
    <n v="10"/>
    <n v="0"/>
    <n v="0"/>
    <n v="9"/>
  </r>
  <r>
    <s v="No"/>
    <s v="Travel_Rarely"/>
    <x v="1"/>
    <s v="Current Employees"/>
    <x v="0"/>
    <x v="0"/>
    <s v="STAFF-1732"/>
    <n v="1732"/>
    <x v="1"/>
    <x v="0"/>
    <x v="2"/>
    <s v="Yes"/>
    <s v="Y"/>
    <n v="5"/>
    <n v="-2"/>
    <n v="0"/>
    <n v="46"/>
    <n v="0"/>
    <m/>
    <n v="0"/>
    <n v="1"/>
    <n v="1277"/>
    <n v="2"/>
    <x v="3"/>
    <n v="1"/>
    <n v="3"/>
    <n v="74"/>
    <n v="3"/>
    <n v="3"/>
    <n v="4"/>
    <n v="10368"/>
    <n v="5596"/>
    <n v="4"/>
    <n v="12"/>
    <n v="3"/>
    <n v="2"/>
    <n v="80"/>
    <n v="1"/>
    <n v="13"/>
    <n v="2"/>
    <n v="10"/>
    <n v="6"/>
    <n v="0"/>
    <n v="3"/>
  </r>
  <r>
    <s v="No"/>
    <s v="Travel_Rarely"/>
    <x v="0"/>
    <s v="Current Employees"/>
    <x v="0"/>
    <x v="3"/>
    <s v="STAFF-1943"/>
    <n v="1943"/>
    <x v="1"/>
    <x v="0"/>
    <x v="2"/>
    <s v="Yes"/>
    <s v="Y"/>
    <n v="4"/>
    <n v="-2"/>
    <n v="0"/>
    <n v="42"/>
    <n v="0"/>
    <m/>
    <n v="0"/>
    <n v="1"/>
    <n v="419"/>
    <n v="12"/>
    <x v="2"/>
    <n v="1"/>
    <n v="2"/>
    <n v="77"/>
    <n v="3"/>
    <n v="2"/>
    <n v="1"/>
    <n v="5087"/>
    <n v="2900"/>
    <n v="3"/>
    <n v="12"/>
    <n v="3"/>
    <n v="3"/>
    <n v="80"/>
    <n v="2"/>
    <n v="14"/>
    <n v="3"/>
    <n v="0"/>
    <n v="0"/>
    <n v="0"/>
    <n v="0"/>
  </r>
  <r>
    <s v="No"/>
    <s v="Travel_Rarely"/>
    <x v="2"/>
    <s v="Current Employees"/>
    <x v="0"/>
    <x v="4"/>
    <s v="STAFF-1535"/>
    <n v="1535"/>
    <x v="1"/>
    <x v="0"/>
    <x v="1"/>
    <s v="Yes"/>
    <s v="Y"/>
    <n v="3"/>
    <n v="-2"/>
    <n v="0"/>
    <n v="34"/>
    <n v="0"/>
    <m/>
    <n v="0"/>
    <n v="1"/>
    <n v="971"/>
    <n v="1"/>
    <x v="3"/>
    <n v="1"/>
    <n v="4"/>
    <n v="64"/>
    <n v="2"/>
    <n v="3"/>
    <n v="4"/>
    <n v="7083"/>
    <n v="12288"/>
    <n v="1"/>
    <n v="14"/>
    <n v="3"/>
    <n v="4"/>
    <n v="80"/>
    <n v="0"/>
    <n v="10"/>
    <n v="3"/>
    <n v="10"/>
    <n v="9"/>
    <n v="8"/>
    <n v="6"/>
  </r>
  <r>
    <s v="No"/>
    <s v="Travel_Rarely"/>
    <x v="1"/>
    <s v="Current Employees"/>
    <x v="0"/>
    <x v="3"/>
    <s v="STAFF-1591"/>
    <n v="1591"/>
    <x v="1"/>
    <x v="5"/>
    <x v="1"/>
    <s v="Yes"/>
    <s v="Y"/>
    <n v="2"/>
    <n v="-2"/>
    <n v="0"/>
    <n v="50"/>
    <n v="0"/>
    <m/>
    <n v="0"/>
    <n v="1"/>
    <n v="264"/>
    <n v="9"/>
    <x v="3"/>
    <n v="1"/>
    <n v="3"/>
    <n v="59"/>
    <n v="3"/>
    <n v="5"/>
    <n v="1"/>
    <n v="19331"/>
    <n v="19519"/>
    <n v="4"/>
    <n v="16"/>
    <n v="3"/>
    <n v="3"/>
    <n v="80"/>
    <n v="1"/>
    <n v="27"/>
    <n v="3"/>
    <n v="1"/>
    <n v="0"/>
    <n v="0"/>
    <n v="0"/>
  </r>
  <r>
    <s v="No"/>
    <s v="Travel_Rarely"/>
    <x v="0"/>
    <s v="Current Employees"/>
    <x v="0"/>
    <x v="2"/>
    <s v="STAFF-1706"/>
    <n v="1706"/>
    <x v="1"/>
    <x v="0"/>
    <x v="1"/>
    <s v="Yes"/>
    <s v="Y"/>
    <n v="3"/>
    <n v="-2"/>
    <n v="0"/>
    <n v="43"/>
    <n v="0"/>
    <m/>
    <n v="0"/>
    <n v="1"/>
    <n v="1179"/>
    <n v="2"/>
    <x v="3"/>
    <n v="1"/>
    <n v="4"/>
    <n v="73"/>
    <n v="3"/>
    <n v="2"/>
    <n v="4"/>
    <n v="7847"/>
    <n v="6069"/>
    <n v="1"/>
    <n v="17"/>
    <n v="3"/>
    <n v="1"/>
    <n v="80"/>
    <n v="1"/>
    <n v="10"/>
    <n v="3"/>
    <n v="10"/>
    <n v="9"/>
    <n v="8"/>
    <n v="8"/>
  </r>
  <r>
    <s v="No"/>
    <s v="Travel_Rarely"/>
    <x v="2"/>
    <s v="Current Employees"/>
    <x v="0"/>
    <x v="0"/>
    <s v="STAFF-1882"/>
    <n v="1882"/>
    <x v="1"/>
    <x v="0"/>
    <x v="1"/>
    <s v="Yes"/>
    <s v="Y"/>
    <n v="3"/>
    <n v="-2"/>
    <n v="0"/>
    <n v="34"/>
    <n v="0"/>
    <m/>
    <n v="0"/>
    <n v="1"/>
    <n v="1480"/>
    <n v="4"/>
    <x v="3"/>
    <n v="1"/>
    <n v="3"/>
    <n v="64"/>
    <n v="3"/>
    <n v="3"/>
    <n v="4"/>
    <n v="9713"/>
    <n v="24444"/>
    <n v="2"/>
    <n v="13"/>
    <n v="3"/>
    <n v="4"/>
    <n v="80"/>
    <n v="3"/>
    <n v="9"/>
    <n v="3"/>
    <n v="5"/>
    <n v="3"/>
    <n v="1"/>
    <n v="0"/>
  </r>
  <r>
    <s v="No"/>
    <s v="Travel_Rarely"/>
    <x v="4"/>
    <s v="Current Employees"/>
    <x v="0"/>
    <x v="2"/>
    <s v="STAFF-2021"/>
    <n v="2021"/>
    <x v="1"/>
    <x v="6"/>
    <x v="0"/>
    <s v="Yes"/>
    <s v="Y"/>
    <n v="6"/>
    <n v="-2"/>
    <n v="0"/>
    <n v="21"/>
    <n v="0"/>
    <m/>
    <n v="0"/>
    <n v="1"/>
    <n v="501"/>
    <n v="5"/>
    <x v="1"/>
    <n v="1"/>
    <n v="3"/>
    <n v="58"/>
    <n v="3"/>
    <n v="1"/>
    <n v="1"/>
    <n v="2380"/>
    <n v="25479"/>
    <n v="1"/>
    <n v="11"/>
    <n v="3"/>
    <n v="4"/>
    <n v="80"/>
    <n v="0"/>
    <n v="2"/>
    <n v="3"/>
    <n v="2"/>
    <n v="2"/>
    <n v="1"/>
    <n v="2"/>
  </r>
  <r>
    <s v="No"/>
    <s v="Travel_Rarely"/>
    <x v="0"/>
    <s v="Current Employees"/>
    <x v="0"/>
    <x v="0"/>
    <s v="STAFF-1678"/>
    <n v="1678"/>
    <x v="1"/>
    <x v="0"/>
    <x v="0"/>
    <s v="Yes"/>
    <s v="Y"/>
    <n v="2"/>
    <n v="-2"/>
    <n v="0"/>
    <n v="41"/>
    <n v="0"/>
    <m/>
    <n v="0"/>
    <n v="1"/>
    <n v="1206"/>
    <n v="23"/>
    <x v="0"/>
    <n v="1"/>
    <n v="4"/>
    <n v="80"/>
    <n v="3"/>
    <n v="3"/>
    <n v="3"/>
    <n v="7082"/>
    <n v="11591"/>
    <n v="3"/>
    <n v="16"/>
    <n v="3"/>
    <n v="4"/>
    <n v="80"/>
    <n v="0"/>
    <n v="21"/>
    <n v="3"/>
    <n v="2"/>
    <n v="0"/>
    <n v="0"/>
    <n v="2"/>
  </r>
  <r>
    <s v="No"/>
    <s v="Non-Travel"/>
    <x v="2"/>
    <s v="Current Employees"/>
    <x v="1"/>
    <x v="2"/>
    <s v="STAFF-1979"/>
    <n v="1979"/>
    <x v="0"/>
    <x v="7"/>
    <x v="1"/>
    <s v="No"/>
    <s v="Y"/>
    <n v="2"/>
    <n v="-2"/>
    <n v="0"/>
    <n v="31"/>
    <n v="0"/>
    <m/>
    <n v="0"/>
    <n v="1"/>
    <n v="697"/>
    <n v="10"/>
    <x v="3"/>
    <n v="1"/>
    <n v="3"/>
    <n v="40"/>
    <n v="3"/>
    <n v="3"/>
    <n v="3"/>
    <n v="11031"/>
    <n v="26862"/>
    <n v="4"/>
    <n v="20"/>
    <n v="4"/>
    <n v="3"/>
    <n v="80"/>
    <n v="1"/>
    <n v="13"/>
    <n v="4"/>
    <n v="11"/>
    <n v="7"/>
    <n v="4"/>
    <n v="8"/>
  </r>
  <r>
    <s v="No"/>
    <s v="Non-Travel"/>
    <x v="1"/>
    <s v="Current Employees"/>
    <x v="0"/>
    <x v="0"/>
    <s v="STAFF-1845"/>
    <n v="1845"/>
    <x v="0"/>
    <x v="0"/>
    <x v="1"/>
    <s v="No"/>
    <s v="Y"/>
    <n v="3"/>
    <n v="-2"/>
    <n v="0"/>
    <n v="45"/>
    <n v="0"/>
    <m/>
    <n v="0"/>
    <n v="1"/>
    <n v="589"/>
    <n v="2"/>
    <x v="2"/>
    <n v="1"/>
    <n v="3"/>
    <n v="67"/>
    <n v="3"/>
    <n v="2"/>
    <n v="3"/>
    <n v="5154"/>
    <n v="19665"/>
    <n v="4"/>
    <n v="22"/>
    <n v="4"/>
    <n v="2"/>
    <n v="80"/>
    <n v="2"/>
    <n v="10"/>
    <n v="4"/>
    <n v="8"/>
    <n v="7"/>
    <n v="5"/>
    <n v="7"/>
  </r>
  <r>
    <s v="No"/>
    <s v="Travel_Frequently"/>
    <x v="1"/>
    <s v="Current Employees"/>
    <x v="1"/>
    <x v="2"/>
    <s v="STAFF-1520"/>
    <n v="1520"/>
    <x v="0"/>
    <x v="5"/>
    <x v="2"/>
    <s v="No"/>
    <s v="Y"/>
    <n v="2"/>
    <n v="-2"/>
    <n v="0"/>
    <n v="54"/>
    <n v="0"/>
    <m/>
    <n v="0"/>
    <n v="1"/>
    <n v="1050"/>
    <n v="11"/>
    <x v="2"/>
    <n v="1"/>
    <n v="2"/>
    <n v="87"/>
    <n v="3"/>
    <n v="4"/>
    <n v="4"/>
    <n v="16032"/>
    <n v="24456"/>
    <n v="3"/>
    <n v="20"/>
    <n v="4"/>
    <n v="1"/>
    <n v="80"/>
    <n v="1"/>
    <n v="26"/>
    <n v="3"/>
    <n v="14"/>
    <n v="9"/>
    <n v="1"/>
    <n v="12"/>
  </r>
  <r>
    <s v="No"/>
    <s v="Travel_Frequently"/>
    <x v="0"/>
    <s v="Current Employees"/>
    <x v="1"/>
    <x v="2"/>
    <s v="STAFF-1675"/>
    <n v="1675"/>
    <x v="0"/>
    <x v="2"/>
    <x v="0"/>
    <s v="No"/>
    <s v="Y"/>
    <n v="3"/>
    <n v="-2"/>
    <n v="0"/>
    <n v="38"/>
    <n v="0"/>
    <m/>
    <n v="0"/>
    <n v="1"/>
    <n v="148"/>
    <n v="2"/>
    <x v="3"/>
    <n v="1"/>
    <n v="4"/>
    <n v="42"/>
    <n v="2"/>
    <n v="1"/>
    <n v="2"/>
    <n v="2440"/>
    <n v="23826"/>
    <n v="1"/>
    <n v="22"/>
    <n v="4"/>
    <n v="2"/>
    <n v="80"/>
    <n v="0"/>
    <n v="4"/>
    <n v="3"/>
    <n v="4"/>
    <n v="3"/>
    <n v="3"/>
    <n v="3"/>
  </r>
  <r>
    <s v="No"/>
    <s v="Travel_Frequently"/>
    <x v="2"/>
    <s v="Current Employees"/>
    <x v="1"/>
    <x v="4"/>
    <s v="STAFF-1736"/>
    <n v="1736"/>
    <x v="0"/>
    <x v="3"/>
    <x v="0"/>
    <s v="No"/>
    <s v="Y"/>
    <n v="3"/>
    <n v="-2"/>
    <n v="0"/>
    <n v="31"/>
    <n v="0"/>
    <m/>
    <n v="0"/>
    <n v="1"/>
    <n v="163"/>
    <n v="24"/>
    <x v="1"/>
    <n v="1"/>
    <n v="4"/>
    <n v="30"/>
    <n v="3"/>
    <n v="2"/>
    <n v="4"/>
    <n v="5238"/>
    <n v="6670"/>
    <n v="2"/>
    <n v="20"/>
    <n v="4"/>
    <n v="4"/>
    <n v="80"/>
    <n v="0"/>
    <n v="9"/>
    <n v="2"/>
    <n v="5"/>
    <n v="4"/>
    <n v="1"/>
    <n v="4"/>
  </r>
  <r>
    <s v="No"/>
    <s v="Travel_Rarely"/>
    <x v="1"/>
    <s v="Current Employees"/>
    <x v="2"/>
    <x v="0"/>
    <s v="STAFF-1744"/>
    <n v="1744"/>
    <x v="0"/>
    <x v="8"/>
    <x v="1"/>
    <s v="No"/>
    <s v="Y"/>
    <n v="2"/>
    <n v="-2"/>
    <n v="0"/>
    <n v="45"/>
    <n v="0"/>
    <m/>
    <n v="0"/>
    <n v="1"/>
    <n v="176"/>
    <n v="4"/>
    <x v="3"/>
    <n v="1"/>
    <n v="3"/>
    <n v="56"/>
    <n v="1"/>
    <n v="3"/>
    <n v="3"/>
    <n v="9756"/>
    <n v="6595"/>
    <n v="4"/>
    <n v="21"/>
    <n v="4"/>
    <n v="3"/>
    <n v="80"/>
    <n v="2"/>
    <n v="9"/>
    <n v="4"/>
    <n v="5"/>
    <n v="0"/>
    <n v="0"/>
    <n v="3"/>
  </r>
  <r>
    <s v="No"/>
    <s v="Travel_Rarely"/>
    <x v="2"/>
    <s v="Current Employees"/>
    <x v="1"/>
    <x v="2"/>
    <s v="STAFF-1622"/>
    <n v="1622"/>
    <x v="0"/>
    <x v="3"/>
    <x v="2"/>
    <s v="No"/>
    <s v="Y"/>
    <n v="5"/>
    <n v="-2"/>
    <n v="0"/>
    <n v="28"/>
    <n v="0"/>
    <m/>
    <n v="0"/>
    <n v="1"/>
    <n v="580"/>
    <n v="27"/>
    <x v="3"/>
    <n v="1"/>
    <n v="2"/>
    <n v="39"/>
    <n v="1"/>
    <n v="2"/>
    <n v="1"/>
    <n v="4877"/>
    <n v="20460"/>
    <n v="0"/>
    <n v="21"/>
    <n v="4"/>
    <n v="2"/>
    <n v="80"/>
    <n v="1"/>
    <n v="6"/>
    <n v="2"/>
    <n v="5"/>
    <n v="3"/>
    <n v="0"/>
    <n v="0"/>
  </r>
  <r>
    <s v="No"/>
    <s v="Travel_Rarely"/>
    <x v="2"/>
    <s v="Current Employees"/>
    <x v="1"/>
    <x v="0"/>
    <s v="STAFF-1581"/>
    <n v="1581"/>
    <x v="0"/>
    <x v="1"/>
    <x v="1"/>
    <s v="No"/>
    <s v="Y"/>
    <n v="5"/>
    <n v="-2"/>
    <n v="0"/>
    <n v="26"/>
    <n v="0"/>
    <m/>
    <n v="0"/>
    <n v="1"/>
    <n v="474"/>
    <n v="3"/>
    <x v="3"/>
    <n v="1"/>
    <n v="1"/>
    <n v="89"/>
    <n v="3"/>
    <n v="1"/>
    <n v="4"/>
    <n v="2061"/>
    <n v="11133"/>
    <n v="1"/>
    <n v="21"/>
    <n v="4"/>
    <n v="1"/>
    <n v="80"/>
    <n v="0"/>
    <n v="1"/>
    <n v="3"/>
    <n v="1"/>
    <n v="0"/>
    <n v="0"/>
    <n v="0"/>
  </r>
  <r>
    <s v="No"/>
    <s v="Travel_Rarely"/>
    <x v="0"/>
    <s v="Current Employees"/>
    <x v="1"/>
    <x v="0"/>
    <s v="STAFF-2034"/>
    <n v="2034"/>
    <x v="0"/>
    <x v="3"/>
    <x v="1"/>
    <s v="No"/>
    <s v="Y"/>
    <n v="3"/>
    <n v="-2"/>
    <n v="0"/>
    <n v="41"/>
    <n v="0"/>
    <m/>
    <n v="0"/>
    <n v="1"/>
    <n v="582"/>
    <n v="28"/>
    <x v="2"/>
    <n v="1"/>
    <n v="1"/>
    <n v="60"/>
    <n v="2"/>
    <n v="4"/>
    <n v="2"/>
    <n v="13570"/>
    <n v="5640"/>
    <n v="0"/>
    <n v="23"/>
    <n v="4"/>
    <n v="3"/>
    <n v="80"/>
    <n v="1"/>
    <n v="21"/>
    <n v="3"/>
    <n v="20"/>
    <n v="7"/>
    <n v="0"/>
    <n v="10"/>
  </r>
  <r>
    <s v="No"/>
    <s v="Travel_Rarely"/>
    <x v="3"/>
    <s v="Current Employees"/>
    <x v="1"/>
    <x v="0"/>
    <s v="STAFF-1441"/>
    <n v="1441"/>
    <x v="0"/>
    <x v="1"/>
    <x v="1"/>
    <s v="No"/>
    <s v="Y"/>
    <n v="3"/>
    <n v="-2"/>
    <n v="0"/>
    <n v="56"/>
    <n v="0"/>
    <m/>
    <n v="0"/>
    <n v="1"/>
    <n v="1255"/>
    <n v="1"/>
    <x v="0"/>
    <n v="1"/>
    <n v="1"/>
    <n v="90"/>
    <n v="3"/>
    <n v="1"/>
    <n v="1"/>
    <n v="2066"/>
    <n v="10494"/>
    <n v="2"/>
    <n v="22"/>
    <n v="4"/>
    <n v="4"/>
    <n v="80"/>
    <n v="1"/>
    <n v="5"/>
    <n v="4"/>
    <n v="3"/>
    <n v="2"/>
    <n v="1"/>
    <n v="0"/>
  </r>
  <r>
    <s v="No"/>
    <s v="Travel_Rarely"/>
    <x v="1"/>
    <s v="Current Employees"/>
    <x v="1"/>
    <x v="2"/>
    <s v="STAFF-1665"/>
    <n v="1665"/>
    <x v="0"/>
    <x v="5"/>
    <x v="1"/>
    <s v="No"/>
    <s v="Y"/>
    <n v="6"/>
    <n v="-2"/>
    <n v="0"/>
    <n v="54"/>
    <n v="0"/>
    <m/>
    <n v="0"/>
    <n v="1"/>
    <n v="584"/>
    <n v="22"/>
    <x v="4"/>
    <n v="1"/>
    <n v="2"/>
    <n v="91"/>
    <n v="3"/>
    <n v="4"/>
    <n v="3"/>
    <n v="17426"/>
    <n v="18685"/>
    <n v="3"/>
    <n v="25"/>
    <n v="4"/>
    <n v="3"/>
    <n v="80"/>
    <n v="1"/>
    <n v="36"/>
    <n v="3"/>
    <n v="10"/>
    <n v="8"/>
    <n v="4"/>
    <n v="7"/>
  </r>
  <r>
    <s v="No"/>
    <s v="Travel_Rarely"/>
    <x v="1"/>
    <s v="Current Employees"/>
    <x v="1"/>
    <x v="2"/>
    <s v="STAFF-1509"/>
    <n v="1509"/>
    <x v="0"/>
    <x v="2"/>
    <x v="1"/>
    <s v="No"/>
    <s v="Y"/>
    <n v="3"/>
    <n v="-2"/>
    <n v="0"/>
    <n v="49"/>
    <n v="0"/>
    <m/>
    <n v="0"/>
    <n v="1"/>
    <n v="271"/>
    <n v="3"/>
    <x v="0"/>
    <n v="1"/>
    <n v="3"/>
    <n v="43"/>
    <n v="2"/>
    <n v="2"/>
    <n v="1"/>
    <n v="4789"/>
    <n v="23070"/>
    <n v="4"/>
    <n v="25"/>
    <n v="4"/>
    <n v="1"/>
    <n v="80"/>
    <n v="1"/>
    <n v="10"/>
    <n v="3"/>
    <n v="3"/>
    <n v="2"/>
    <n v="1"/>
    <n v="2"/>
  </r>
  <r>
    <s v="No"/>
    <s v="Travel_Rarely"/>
    <x v="2"/>
    <s v="Current Employees"/>
    <x v="1"/>
    <x v="2"/>
    <s v="STAFF-1834"/>
    <n v="1834"/>
    <x v="0"/>
    <x v="1"/>
    <x v="1"/>
    <s v="No"/>
    <s v="Y"/>
    <n v="3"/>
    <n v="-2"/>
    <n v="0"/>
    <n v="28"/>
    <n v="0"/>
    <m/>
    <n v="0"/>
    <n v="1"/>
    <n v="1217"/>
    <n v="1"/>
    <x v="3"/>
    <n v="1"/>
    <n v="3"/>
    <n v="67"/>
    <n v="3"/>
    <n v="1"/>
    <n v="1"/>
    <n v="3591"/>
    <n v="12719"/>
    <n v="1"/>
    <n v="25"/>
    <n v="4"/>
    <n v="3"/>
    <n v="80"/>
    <n v="1"/>
    <n v="3"/>
    <n v="3"/>
    <n v="3"/>
    <n v="2"/>
    <n v="1"/>
    <n v="2"/>
  </r>
  <r>
    <s v="No"/>
    <s v="Travel_Rarely"/>
    <x v="2"/>
    <s v="Current Employees"/>
    <x v="0"/>
    <x v="2"/>
    <s v="STAFF-1864"/>
    <n v="1864"/>
    <x v="0"/>
    <x v="6"/>
    <x v="1"/>
    <s v="No"/>
    <s v="Y"/>
    <n v="5"/>
    <n v="-2"/>
    <n v="0"/>
    <n v="27"/>
    <n v="0"/>
    <m/>
    <n v="0"/>
    <n v="1"/>
    <n v="728"/>
    <n v="23"/>
    <x v="1"/>
    <n v="1"/>
    <n v="2"/>
    <n v="36"/>
    <n v="2"/>
    <n v="2"/>
    <n v="3"/>
    <n v="3540"/>
    <n v="7018"/>
    <n v="1"/>
    <n v="21"/>
    <n v="4"/>
    <n v="4"/>
    <n v="80"/>
    <n v="1"/>
    <n v="9"/>
    <n v="3"/>
    <n v="9"/>
    <n v="8"/>
    <n v="5"/>
    <n v="8"/>
  </r>
  <r>
    <s v="No"/>
    <s v="Travel_Rarely"/>
    <x v="0"/>
    <s v="Current Employees"/>
    <x v="0"/>
    <x v="3"/>
    <s v="STAFF-1909"/>
    <n v="1909"/>
    <x v="0"/>
    <x v="0"/>
    <x v="1"/>
    <s v="No"/>
    <s v="Y"/>
    <n v="3"/>
    <n v="-2"/>
    <n v="0"/>
    <n v="41"/>
    <n v="0"/>
    <m/>
    <n v="0"/>
    <n v="1"/>
    <n v="337"/>
    <n v="8"/>
    <x v="3"/>
    <n v="1"/>
    <n v="3"/>
    <n v="54"/>
    <n v="3"/>
    <n v="2"/>
    <n v="1"/>
    <n v="4393"/>
    <n v="26841"/>
    <n v="5"/>
    <n v="21"/>
    <n v="4"/>
    <n v="3"/>
    <n v="80"/>
    <n v="1"/>
    <n v="14"/>
    <n v="3"/>
    <n v="5"/>
    <n v="4"/>
    <n v="1"/>
    <n v="4"/>
  </r>
  <r>
    <s v="No"/>
    <s v="Travel_Rarely"/>
    <x v="0"/>
    <s v="Current Employees"/>
    <x v="0"/>
    <x v="0"/>
    <s v="STAFF-1554"/>
    <n v="1554"/>
    <x v="0"/>
    <x v="6"/>
    <x v="1"/>
    <s v="No"/>
    <s v="Y"/>
    <n v="5"/>
    <n v="-2"/>
    <n v="0"/>
    <n v="35"/>
    <n v="0"/>
    <m/>
    <n v="0"/>
    <n v="1"/>
    <n v="1402"/>
    <n v="28"/>
    <x v="2"/>
    <n v="1"/>
    <n v="2"/>
    <n v="98"/>
    <n v="2"/>
    <n v="1"/>
    <n v="3"/>
    <n v="2430"/>
    <n v="26204"/>
    <n v="0"/>
    <n v="23"/>
    <n v="4"/>
    <n v="1"/>
    <n v="80"/>
    <n v="2"/>
    <n v="6"/>
    <n v="3"/>
    <n v="5"/>
    <n v="3"/>
    <n v="4"/>
    <n v="2"/>
  </r>
  <r>
    <s v="No"/>
    <s v="Travel_Rarely"/>
    <x v="2"/>
    <s v="Current Employees"/>
    <x v="0"/>
    <x v="3"/>
    <s v="STAFF-2035"/>
    <n v="2035"/>
    <x v="0"/>
    <x v="0"/>
    <x v="1"/>
    <s v="No"/>
    <s v="Y"/>
    <n v="2"/>
    <n v="-2"/>
    <n v="0"/>
    <n v="34"/>
    <n v="0"/>
    <m/>
    <n v="0"/>
    <n v="1"/>
    <n v="704"/>
    <n v="28"/>
    <x v="3"/>
    <n v="1"/>
    <n v="4"/>
    <n v="95"/>
    <n v="2"/>
    <n v="2"/>
    <n v="1"/>
    <n v="6712"/>
    <n v="8978"/>
    <n v="1"/>
    <n v="21"/>
    <n v="4"/>
    <n v="4"/>
    <n v="80"/>
    <n v="2"/>
    <n v="8"/>
    <n v="3"/>
    <n v="8"/>
    <n v="7"/>
    <n v="1"/>
    <n v="7"/>
  </r>
  <r>
    <s v="No"/>
    <s v="Non-Travel"/>
    <x v="3"/>
    <s v="Current Employees"/>
    <x v="1"/>
    <x v="0"/>
    <s v="STAFF-2026"/>
    <n v="2026"/>
    <x v="1"/>
    <x v="4"/>
    <x v="2"/>
    <s v="No"/>
    <s v="Y"/>
    <n v="2"/>
    <n v="-2"/>
    <n v="0"/>
    <n v="56"/>
    <n v="0"/>
    <m/>
    <n v="0"/>
    <n v="1"/>
    <n v="667"/>
    <n v="1"/>
    <x v="2"/>
    <n v="1"/>
    <n v="3"/>
    <n v="57"/>
    <n v="3"/>
    <n v="2"/>
    <n v="3"/>
    <n v="6306"/>
    <n v="26236"/>
    <n v="1"/>
    <n v="21"/>
    <n v="4"/>
    <n v="1"/>
    <n v="80"/>
    <n v="1"/>
    <n v="13"/>
    <n v="2"/>
    <n v="13"/>
    <n v="12"/>
    <n v="1"/>
    <n v="9"/>
  </r>
  <r>
    <s v="No"/>
    <s v="Non-Travel"/>
    <x v="0"/>
    <s v="Current Employees"/>
    <x v="1"/>
    <x v="0"/>
    <s v="STAFF-1949"/>
    <n v="1949"/>
    <x v="1"/>
    <x v="2"/>
    <x v="1"/>
    <s v="No"/>
    <s v="Y"/>
    <n v="3"/>
    <n v="-2"/>
    <n v="0"/>
    <n v="36"/>
    <n v="0"/>
    <m/>
    <n v="0"/>
    <n v="1"/>
    <n v="1351"/>
    <n v="9"/>
    <x v="2"/>
    <n v="1"/>
    <n v="1"/>
    <n v="66"/>
    <n v="4"/>
    <n v="1"/>
    <n v="2"/>
    <n v="2810"/>
    <n v="9238"/>
    <n v="1"/>
    <n v="22"/>
    <n v="4"/>
    <n v="2"/>
    <n v="80"/>
    <n v="0"/>
    <n v="5"/>
    <n v="3"/>
    <n v="5"/>
    <n v="4"/>
    <n v="0"/>
    <n v="2"/>
  </r>
  <r>
    <s v="No"/>
    <s v="Non-Travel"/>
    <x v="1"/>
    <s v="Current Employees"/>
    <x v="1"/>
    <x v="0"/>
    <s v="STAFF-1712"/>
    <n v="1712"/>
    <x v="1"/>
    <x v="4"/>
    <x v="1"/>
    <s v="No"/>
    <s v="Y"/>
    <n v="3"/>
    <n v="-2"/>
    <n v="0"/>
    <n v="45"/>
    <n v="0"/>
    <m/>
    <n v="0"/>
    <n v="1"/>
    <n v="1238"/>
    <n v="1"/>
    <x v="1"/>
    <n v="1"/>
    <n v="3"/>
    <n v="74"/>
    <n v="2"/>
    <n v="3"/>
    <n v="3"/>
    <n v="10748"/>
    <n v="3395"/>
    <n v="3"/>
    <n v="23"/>
    <n v="4"/>
    <n v="4"/>
    <n v="80"/>
    <n v="1"/>
    <n v="25"/>
    <n v="2"/>
    <n v="23"/>
    <n v="15"/>
    <n v="14"/>
    <n v="4"/>
  </r>
  <r>
    <s v="No"/>
    <s v="Non-Travel"/>
    <x v="0"/>
    <s v="Current Employees"/>
    <x v="1"/>
    <x v="4"/>
    <s v="STAFF-1854"/>
    <n v="1854"/>
    <x v="1"/>
    <x v="1"/>
    <x v="1"/>
    <s v="No"/>
    <s v="Y"/>
    <n v="1"/>
    <n v="-2"/>
    <n v="0"/>
    <n v="42"/>
    <n v="0"/>
    <m/>
    <n v="0"/>
    <n v="1"/>
    <n v="355"/>
    <n v="10"/>
    <x v="2"/>
    <n v="1"/>
    <n v="4"/>
    <n v="38"/>
    <n v="3"/>
    <n v="1"/>
    <n v="4"/>
    <n v="2936"/>
    <n v="6161"/>
    <n v="3"/>
    <n v="22"/>
    <n v="4"/>
    <n v="2"/>
    <n v="80"/>
    <n v="2"/>
    <n v="10"/>
    <n v="2"/>
    <n v="6"/>
    <n v="3"/>
    <n v="3"/>
    <n v="3"/>
  </r>
  <r>
    <s v="No"/>
    <s v="Non-Travel"/>
    <x v="2"/>
    <s v="Current Employees"/>
    <x v="1"/>
    <x v="2"/>
    <s v="STAFF-1693"/>
    <n v="1693"/>
    <x v="1"/>
    <x v="2"/>
    <x v="0"/>
    <s v="No"/>
    <s v="Y"/>
    <n v="5"/>
    <n v="-2"/>
    <n v="0"/>
    <n v="26"/>
    <n v="0"/>
    <m/>
    <n v="0"/>
    <n v="1"/>
    <n v="786"/>
    <n v="7"/>
    <x v="3"/>
    <n v="1"/>
    <n v="4"/>
    <n v="76"/>
    <n v="3"/>
    <n v="1"/>
    <n v="4"/>
    <n v="2570"/>
    <n v="11925"/>
    <n v="1"/>
    <n v="20"/>
    <n v="4"/>
    <n v="3"/>
    <n v="80"/>
    <n v="0"/>
    <n v="7"/>
    <n v="3"/>
    <n v="7"/>
    <n v="7"/>
    <n v="5"/>
    <n v="7"/>
  </r>
  <r>
    <s v="No"/>
    <s v="Non-Travel"/>
    <x v="3"/>
    <s v="Current Employees"/>
    <x v="0"/>
    <x v="2"/>
    <s v="STAFF-1824"/>
    <n v="1824"/>
    <x v="1"/>
    <x v="5"/>
    <x v="2"/>
    <s v="No"/>
    <s v="Y"/>
    <n v="0"/>
    <n v="-2"/>
    <n v="0"/>
    <n v="58"/>
    <n v="0"/>
    <m/>
    <n v="0"/>
    <n v="1"/>
    <n v="350"/>
    <n v="2"/>
    <x v="3"/>
    <n v="1"/>
    <n v="2"/>
    <n v="52"/>
    <n v="3"/>
    <n v="4"/>
    <n v="2"/>
    <n v="16291"/>
    <n v="22577"/>
    <n v="4"/>
    <n v="22"/>
    <n v="4"/>
    <n v="4"/>
    <n v="80"/>
    <n v="1"/>
    <n v="37"/>
    <n v="2"/>
    <n v="16"/>
    <n v="9"/>
    <n v="14"/>
    <n v="14"/>
  </r>
  <r>
    <s v="No"/>
    <s v="Non-Travel"/>
    <x v="0"/>
    <s v="Current Employees"/>
    <x v="0"/>
    <x v="3"/>
    <s v="STAFF-2036"/>
    <n v="2036"/>
    <x v="1"/>
    <x v="0"/>
    <x v="2"/>
    <s v="No"/>
    <s v="Y"/>
    <n v="4"/>
    <n v="-2"/>
    <n v="0"/>
    <n v="36"/>
    <n v="0"/>
    <m/>
    <n v="0"/>
    <n v="1"/>
    <n v="301"/>
    <n v="15"/>
    <x v="2"/>
    <n v="1"/>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n v="4"/>
    <n v="4"/>
    <n v="80"/>
    <n v="0"/>
    <n v="10"/>
    <n v="2"/>
    <n v="10"/>
    <n v="1"/>
    <n v="0"/>
    <n v="8"/>
  </r>
  <r>
    <s v="No"/>
    <s v="Travel_Frequently"/>
    <x v="2"/>
    <s v="Current Employees"/>
    <x v="1"/>
    <x v="0"/>
    <s v="STAFF-1970"/>
    <n v="1970"/>
    <x v="1"/>
    <x v="4"/>
    <x v="2"/>
    <s v="No"/>
    <s v="Y"/>
    <n v="2"/>
    <n v="-2"/>
    <n v="0"/>
    <n v="33"/>
    <n v="0"/>
    <m/>
    <n v="0"/>
    <n v="1"/>
    <n v="1303"/>
    <n v="7"/>
    <x v="0"/>
    <n v="1"/>
    <n v="4"/>
    <n v="36"/>
    <n v="3"/>
    <n v="2"/>
    <n v="3"/>
    <n v="5968"/>
    <n v="18079"/>
    <n v="1"/>
    <n v="20"/>
    <n v="4"/>
    <n v="3"/>
    <n v="80"/>
    <n v="3"/>
    <n v="9"/>
    <n v="3"/>
    <n v="9"/>
    <n v="7"/>
    <n v="2"/>
    <n v="8"/>
  </r>
  <r>
    <s v="No"/>
    <s v="Travel_Frequently"/>
    <x v="2"/>
    <s v="Current Employees"/>
    <x v="1"/>
    <x v="0"/>
    <s v="STAFF-1956"/>
    <n v="1956"/>
    <x v="1"/>
    <x v="1"/>
    <x v="1"/>
    <s v="No"/>
    <s v="Y"/>
    <n v="6"/>
    <n v="-2"/>
    <n v="0"/>
    <n v="31"/>
    <n v="0"/>
    <m/>
    <n v="0"/>
    <n v="1"/>
    <n v="1125"/>
    <n v="1"/>
    <x v="3"/>
    <n v="1"/>
    <n v="4"/>
    <n v="48"/>
    <n v="1"/>
    <n v="2"/>
    <n v="1"/>
    <n v="5003"/>
    <n v="5771"/>
    <n v="1"/>
    <n v="21"/>
    <n v="4"/>
    <n v="2"/>
    <n v="80"/>
    <n v="0"/>
    <n v="10"/>
    <n v="3"/>
    <n v="10"/>
    <n v="8"/>
    <n v="8"/>
    <n v="7"/>
  </r>
  <r>
    <s v="No"/>
    <s v="Travel_Frequently"/>
    <x v="1"/>
    <s v="Current Employees"/>
    <x v="1"/>
    <x v="2"/>
    <s v="STAFF-1644"/>
    <n v="1644"/>
    <x v="1"/>
    <x v="5"/>
    <x v="1"/>
    <s v="No"/>
    <s v="Y"/>
    <n v="3"/>
    <n v="-2"/>
    <n v="0"/>
    <n v="48"/>
    <n v="0"/>
    <m/>
    <n v="0"/>
    <n v="1"/>
    <n v="365"/>
    <n v="4"/>
    <x v="4"/>
    <n v="1"/>
    <n v="3"/>
    <n v="89"/>
    <n v="2"/>
    <n v="4"/>
    <n v="4"/>
    <n v="15202"/>
    <n v="5602"/>
    <n v="2"/>
    <n v="25"/>
    <n v="4"/>
    <n v="2"/>
    <n v="80"/>
    <n v="1"/>
    <n v="23"/>
    <n v="3"/>
    <n v="2"/>
    <n v="2"/>
    <n v="2"/>
    <n v="2"/>
  </r>
  <r>
    <s v="No"/>
    <s v="Travel_Frequently"/>
    <x v="0"/>
    <s v="Current Employees"/>
    <x v="0"/>
    <x v="0"/>
    <s v="STAFF-1849"/>
    <n v="1849"/>
    <x v="1"/>
    <x v="0"/>
    <x v="1"/>
    <s v="No"/>
    <s v="Y"/>
    <n v="5"/>
    <n v="-2"/>
    <n v="0"/>
    <n v="43"/>
    <n v="0"/>
    <m/>
    <n v="0"/>
    <n v="1"/>
    <n v="1422"/>
    <n v="2"/>
    <x v="2"/>
    <n v="1"/>
    <n v="1"/>
    <n v="92"/>
    <n v="3"/>
    <n v="2"/>
    <n v="4"/>
    <n v="5675"/>
    <n v="19246"/>
    <n v="1"/>
    <n v="20"/>
    <n v="4"/>
    <n v="3"/>
    <n v="80"/>
    <n v="1"/>
    <n v="7"/>
    <n v="3"/>
    <n v="7"/>
    <n v="7"/>
    <n v="7"/>
    <n v="7"/>
  </r>
  <r>
    <s v="No"/>
    <s v="Travel_Rarely"/>
    <x v="2"/>
    <s v="Current Employees"/>
    <x v="2"/>
    <x v="0"/>
    <s v="STAFF-1499"/>
    <n v="1499"/>
    <x v="1"/>
    <x v="8"/>
    <x v="2"/>
    <s v="No"/>
    <s v="Y"/>
    <n v="3"/>
    <n v="-2"/>
    <n v="0"/>
    <n v="30"/>
    <n v="0"/>
    <m/>
    <n v="0"/>
    <n v="1"/>
    <n v="330"/>
    <n v="1"/>
    <x v="3"/>
    <n v="1"/>
    <n v="3"/>
    <n v="46"/>
    <n v="3"/>
    <n v="1"/>
    <n v="3"/>
    <n v="2064"/>
    <n v="15428"/>
    <n v="0"/>
    <n v="21"/>
    <n v="4"/>
    <n v="1"/>
    <n v="80"/>
    <n v="1"/>
    <n v="6"/>
    <n v="4"/>
    <n v="5"/>
    <n v="3"/>
    <n v="1"/>
    <n v="3"/>
  </r>
  <r>
    <s v="No"/>
    <s v="Travel_Rarely"/>
    <x v="3"/>
    <s v="Current Employees"/>
    <x v="1"/>
    <x v="2"/>
    <s v="STAFF-1697"/>
    <n v="1697"/>
    <x v="1"/>
    <x v="4"/>
    <x v="2"/>
    <s v="No"/>
    <s v="Y"/>
    <n v="2"/>
    <n v="-2"/>
    <n v="0"/>
    <n v="60"/>
    <n v="0"/>
    <m/>
    <n v="0"/>
    <n v="1"/>
    <n v="370"/>
    <n v="1"/>
    <x v="2"/>
    <n v="1"/>
    <n v="3"/>
    <n v="92"/>
    <n v="1"/>
    <n v="3"/>
    <n v="4"/>
    <n v="10883"/>
    <n v="20467"/>
    <n v="3"/>
    <n v="20"/>
    <n v="4"/>
    <n v="3"/>
    <n v="80"/>
    <n v="1"/>
    <n v="19"/>
    <n v="4"/>
    <n v="1"/>
    <n v="0"/>
    <n v="0"/>
    <n v="0"/>
  </r>
  <r>
    <s v="No"/>
    <s v="Travel_Rarely"/>
    <x v="0"/>
    <s v="Current Employees"/>
    <x v="1"/>
    <x v="0"/>
    <s v="STAFF-1664"/>
    <n v="1664"/>
    <x v="1"/>
    <x v="4"/>
    <x v="2"/>
    <s v="No"/>
    <s v="Y"/>
    <n v="3"/>
    <n v="-2"/>
    <n v="0"/>
    <n v="36"/>
    <n v="0"/>
    <m/>
    <n v="0"/>
    <n v="1"/>
    <n v="1040"/>
    <n v="3"/>
    <x v="0"/>
    <n v="1"/>
    <n v="4"/>
    <n v="79"/>
    <n v="4"/>
    <n v="2"/>
    <n v="1"/>
    <n v="6842"/>
    <n v="26308"/>
    <n v="6"/>
    <n v="20"/>
    <n v="4"/>
    <n v="1"/>
    <n v="80"/>
    <n v="1"/>
    <n v="13"/>
    <n v="3"/>
    <n v="5"/>
    <n v="4"/>
    <n v="0"/>
    <n v="4"/>
  </r>
  <r>
    <s v="No"/>
    <s v="Travel_Rarely"/>
    <x v="0"/>
    <s v="Current Employees"/>
    <x v="1"/>
    <x v="0"/>
    <s v="STAFF-1772"/>
    <n v="1772"/>
    <x v="1"/>
    <x v="2"/>
    <x v="2"/>
    <s v="No"/>
    <s v="Y"/>
    <n v="2"/>
    <n v="-2"/>
    <n v="0"/>
    <n v="41"/>
    <n v="0"/>
    <m/>
    <n v="0"/>
    <n v="1"/>
    <n v="548"/>
    <n v="9"/>
    <x v="2"/>
    <n v="1"/>
    <n v="3"/>
    <n v="94"/>
    <n v="3"/>
    <n v="1"/>
    <n v="1"/>
    <n v="2289"/>
    <n v="20520"/>
    <n v="1"/>
    <n v="20"/>
    <n v="4"/>
    <n v="2"/>
    <n v="80"/>
    <n v="2"/>
    <n v="5"/>
    <n v="3"/>
    <n v="5"/>
    <n v="3"/>
    <n v="0"/>
    <n v="4"/>
  </r>
  <r>
    <s v="No"/>
    <s v="Travel_Rarely"/>
    <x v="0"/>
    <s v="Current Employees"/>
    <x v="1"/>
    <x v="2"/>
    <s v="STAFF-1768"/>
    <n v="1768"/>
    <x v="1"/>
    <x v="2"/>
    <x v="2"/>
    <s v="No"/>
    <s v="Y"/>
    <n v="6"/>
    <n v="-2"/>
    <n v="0"/>
    <n v="42"/>
    <n v="0"/>
    <m/>
    <n v="0"/>
    <n v="1"/>
    <n v="855"/>
    <n v="12"/>
    <x v="3"/>
    <n v="1"/>
    <n v="2"/>
    <n v="57"/>
    <n v="3"/>
    <n v="1"/>
    <n v="2"/>
    <n v="2766"/>
    <n v="8952"/>
    <n v="8"/>
    <n v="22"/>
    <n v="4"/>
    <n v="2"/>
    <n v="80"/>
    <n v="3"/>
    <n v="7"/>
    <n v="2"/>
    <n v="5"/>
    <n v="3"/>
    <n v="0"/>
    <n v="4"/>
  </r>
  <r>
    <s v="No"/>
    <s v="Travel_Rarely"/>
    <x v="0"/>
    <s v="Current Employees"/>
    <x v="1"/>
    <x v="2"/>
    <s v="STAFF-1654"/>
    <n v="1654"/>
    <x v="1"/>
    <x v="3"/>
    <x v="1"/>
    <s v="No"/>
    <s v="Y"/>
    <n v="3"/>
    <n v="-2"/>
    <n v="0"/>
    <n v="39"/>
    <n v="0"/>
    <m/>
    <n v="0"/>
    <n v="1"/>
    <n v="492"/>
    <n v="12"/>
    <x v="3"/>
    <n v="1"/>
    <n v="4"/>
    <n v="66"/>
    <n v="3"/>
    <n v="2"/>
    <n v="2"/>
    <n v="5295"/>
    <n v="7693"/>
    <n v="4"/>
    <n v="21"/>
    <n v="4"/>
    <n v="3"/>
    <n v="80"/>
    <n v="0"/>
    <n v="7"/>
    <n v="3"/>
    <n v="5"/>
    <n v="4"/>
    <n v="1"/>
    <n v="0"/>
  </r>
  <r>
    <s v="No"/>
    <s v="Travel_Rarely"/>
    <x v="0"/>
    <s v="Current Employees"/>
    <x v="1"/>
    <x v="2"/>
    <s v="STAFF-1936"/>
    <n v="1936"/>
    <x v="1"/>
    <x v="3"/>
    <x v="1"/>
    <s v="No"/>
    <s v="Y"/>
    <n v="3"/>
    <n v="-2"/>
    <n v="0"/>
    <n v="39"/>
    <n v="0"/>
    <m/>
    <n v="0"/>
    <n v="1"/>
    <n v="867"/>
    <n v="9"/>
    <x v="0"/>
    <n v="1"/>
    <n v="1"/>
    <n v="87"/>
    <n v="3"/>
    <n v="2"/>
    <n v="1"/>
    <n v="5151"/>
    <n v="12315"/>
    <n v="1"/>
    <n v="25"/>
    <n v="4"/>
    <n v="4"/>
    <n v="80"/>
    <n v="1"/>
    <n v="10"/>
    <n v="3"/>
    <n v="10"/>
    <n v="0"/>
    <n v="7"/>
    <n v="9"/>
  </r>
  <r>
    <s v="No"/>
    <s v="Travel_Rarely"/>
    <x v="3"/>
    <s v="Current Employees"/>
    <x v="1"/>
    <x v="4"/>
    <s v="STAFF-1873"/>
    <n v="1873"/>
    <x v="1"/>
    <x v="1"/>
    <x v="1"/>
    <s v="No"/>
    <s v="Y"/>
    <n v="2"/>
    <n v="-2"/>
    <n v="0"/>
    <n v="55"/>
    <n v="0"/>
    <m/>
    <n v="0"/>
    <n v="1"/>
    <n v="836"/>
    <n v="2"/>
    <x v="2"/>
    <n v="1"/>
    <n v="4"/>
    <n v="98"/>
    <n v="2"/>
    <n v="1"/>
    <n v="4"/>
    <n v="2662"/>
    <n v="7975"/>
    <n v="8"/>
    <n v="20"/>
    <n v="4"/>
    <n v="2"/>
    <n v="80"/>
    <n v="1"/>
    <n v="19"/>
    <n v="4"/>
    <n v="5"/>
    <n v="2"/>
    <n v="0"/>
    <n v="4"/>
  </r>
  <r>
    <s v="No"/>
    <s v="Travel_Rarely"/>
    <x v="3"/>
    <s v="Current Employees"/>
    <x v="1"/>
    <x v="0"/>
    <s v="STAFF-1483"/>
    <n v="1483"/>
    <x v="1"/>
    <x v="1"/>
    <x v="1"/>
    <s v="No"/>
    <s v="Y"/>
    <n v="2"/>
    <n v="-2"/>
    <n v="0"/>
    <n v="57"/>
    <n v="0"/>
    <m/>
    <n v="0"/>
    <n v="1"/>
    <n v="405"/>
    <n v="1"/>
    <x v="0"/>
    <n v="1"/>
    <n v="2"/>
    <n v="93"/>
    <n v="4"/>
    <n v="2"/>
    <n v="3"/>
    <n v="4900"/>
    <n v="2721"/>
    <n v="0"/>
    <n v="24"/>
    <n v="4"/>
    <n v="1"/>
    <n v="80"/>
    <n v="1"/>
    <n v="13"/>
    <n v="2"/>
    <n v="12"/>
    <n v="9"/>
    <n v="2"/>
    <n v="8"/>
  </r>
  <r>
    <s v="No"/>
    <s v="Travel_Rarely"/>
    <x v="0"/>
    <s v="Current Employees"/>
    <x v="1"/>
    <x v="0"/>
    <s v="STAFF-1666"/>
    <n v="1666"/>
    <x v="1"/>
    <x v="7"/>
    <x v="1"/>
    <s v="No"/>
    <s v="Y"/>
    <n v="3"/>
    <n v="-2"/>
    <n v="0"/>
    <n v="43"/>
    <n v="0"/>
    <m/>
    <n v="0"/>
    <n v="1"/>
    <n v="1291"/>
    <n v="15"/>
    <x v="0"/>
    <n v="1"/>
    <n v="3"/>
    <n v="65"/>
    <n v="2"/>
    <n v="4"/>
    <n v="3"/>
    <n v="17603"/>
    <n v="3525"/>
    <n v="1"/>
    <n v="24"/>
    <n v="4"/>
    <n v="1"/>
    <n v="80"/>
    <n v="1"/>
    <n v="14"/>
    <n v="3"/>
    <n v="14"/>
    <n v="10"/>
    <n v="6"/>
    <n v="11"/>
  </r>
  <r>
    <s v="No"/>
    <s v="Travel_Rarely"/>
    <x v="0"/>
    <s v="Current Employees"/>
    <x v="1"/>
    <x v="0"/>
    <s v="STAFF-1999"/>
    <n v="1999"/>
    <x v="1"/>
    <x v="1"/>
    <x v="1"/>
    <s v="No"/>
    <s v="Y"/>
    <n v="3"/>
    <n v="-2"/>
    <n v="0"/>
    <n v="41"/>
    <n v="0"/>
    <m/>
    <n v="0"/>
    <n v="1"/>
    <n v="642"/>
    <n v="1"/>
    <x v="3"/>
    <n v="1"/>
    <n v="4"/>
    <n v="76"/>
    <n v="3"/>
    <n v="1"/>
    <n v="4"/>
    <n v="2782"/>
    <n v="21412"/>
    <n v="3"/>
    <n v="22"/>
    <n v="4"/>
    <n v="1"/>
    <n v="80"/>
    <n v="1"/>
    <n v="12"/>
    <n v="3"/>
    <n v="5"/>
    <n v="3"/>
    <n v="1"/>
    <n v="0"/>
  </r>
  <r>
    <s v="No"/>
    <s v="Travel_Rarely"/>
    <x v="1"/>
    <s v="Current Employees"/>
    <x v="1"/>
    <x v="4"/>
    <s v="STAFF-1546"/>
    <n v="1546"/>
    <x v="1"/>
    <x v="1"/>
    <x v="1"/>
    <s v="No"/>
    <s v="Y"/>
    <n v="3"/>
    <n v="-2"/>
    <n v="0"/>
    <n v="45"/>
    <n v="0"/>
    <m/>
    <n v="0"/>
    <n v="1"/>
    <n v="950"/>
    <n v="28"/>
    <x v="3"/>
    <n v="1"/>
    <n v="4"/>
    <n v="97"/>
    <n v="3"/>
    <n v="1"/>
    <n v="4"/>
    <n v="2132"/>
    <n v="4585"/>
    <n v="4"/>
    <n v="20"/>
    <n v="4"/>
    <n v="4"/>
    <n v="80"/>
    <n v="1"/>
    <n v="8"/>
    <n v="3"/>
    <n v="5"/>
    <n v="4"/>
    <n v="0"/>
    <n v="3"/>
  </r>
  <r>
    <s v="No"/>
    <s v="Travel_Rarely"/>
    <x v="1"/>
    <s v="Current Employees"/>
    <x v="1"/>
    <x v="2"/>
    <s v="STAFF-1993"/>
    <n v="1993"/>
    <x v="1"/>
    <x v="4"/>
    <x v="0"/>
    <s v="No"/>
    <s v="Y"/>
    <n v="3"/>
    <n v="-2"/>
    <n v="0"/>
    <n v="47"/>
    <n v="0"/>
    <m/>
    <n v="0"/>
    <n v="1"/>
    <n v="1180"/>
    <n v="25"/>
    <x v="3"/>
    <n v="1"/>
    <n v="1"/>
    <n v="84"/>
    <n v="3"/>
    <n v="3"/>
    <n v="3"/>
    <n v="8633"/>
    <n v="13084"/>
    <n v="2"/>
    <n v="23"/>
    <n v="4"/>
    <n v="2"/>
    <n v="80"/>
    <n v="0"/>
    <n v="25"/>
    <n v="3"/>
    <n v="17"/>
    <n v="14"/>
    <n v="12"/>
    <n v="11"/>
  </r>
  <r>
    <s v="No"/>
    <s v="Travel_Rarely"/>
    <x v="0"/>
    <s v="Current Employees"/>
    <x v="1"/>
    <x v="2"/>
    <s v="STAFF-1800"/>
    <n v="1800"/>
    <x v="1"/>
    <x v="7"/>
    <x v="0"/>
    <s v="No"/>
    <s v="Y"/>
    <n v="3"/>
    <n v="-2"/>
    <n v="0"/>
    <n v="39"/>
    <n v="0"/>
    <m/>
    <n v="0"/>
    <n v="1"/>
    <n v="1253"/>
    <n v="10"/>
    <x v="1"/>
    <n v="1"/>
    <n v="3"/>
    <n v="65"/>
    <n v="3"/>
    <n v="3"/>
    <n v="3"/>
    <n v="13464"/>
    <n v="7914"/>
    <n v="7"/>
    <n v="21"/>
    <n v="4"/>
    <n v="3"/>
    <n v="80"/>
    <n v="0"/>
    <n v="9"/>
    <n v="3"/>
    <n v="4"/>
    <n v="3"/>
    <n v="2"/>
    <n v="2"/>
  </r>
  <r>
    <s v="No"/>
    <s v="Travel_Rarely"/>
    <x v="2"/>
    <s v="Current Employees"/>
    <x v="1"/>
    <x v="2"/>
    <s v="STAFF-1516"/>
    <n v="1516"/>
    <x v="1"/>
    <x v="5"/>
    <x v="0"/>
    <s v="No"/>
    <s v="Y"/>
    <n v="5"/>
    <n v="-2"/>
    <n v="0"/>
    <n v="32"/>
    <n v="0"/>
    <m/>
    <n v="0"/>
    <n v="1"/>
    <n v="495"/>
    <n v="10"/>
    <x v="3"/>
    <n v="1"/>
    <n v="3"/>
    <n v="64"/>
    <n v="3"/>
    <n v="3"/>
    <n v="4"/>
    <n v="11244"/>
    <n v="21072"/>
    <n v="2"/>
    <n v="25"/>
    <n v="4"/>
    <n v="2"/>
    <n v="80"/>
    <n v="0"/>
    <n v="10"/>
    <n v="4"/>
    <n v="5"/>
    <n v="2"/>
    <n v="0"/>
    <n v="0"/>
  </r>
  <r>
    <s v="No"/>
    <s v="Travel_Rarely"/>
    <x v="2"/>
    <s v="Current Employees"/>
    <x v="1"/>
    <x v="0"/>
    <s v="STAFF-1966"/>
    <n v="1966"/>
    <x v="1"/>
    <x v="3"/>
    <x v="0"/>
    <s v="No"/>
    <s v="Y"/>
    <n v="1"/>
    <n v="-2"/>
    <n v="0"/>
    <n v="32"/>
    <n v="0"/>
    <m/>
    <n v="0"/>
    <n v="1"/>
    <n v="1373"/>
    <n v="5"/>
    <x v="2"/>
    <n v="1"/>
    <n v="4"/>
    <n v="56"/>
    <n v="2"/>
    <n v="2"/>
    <n v="4"/>
    <n v="9679"/>
    <n v="10138"/>
    <n v="8"/>
    <n v="24"/>
    <n v="4"/>
    <n v="2"/>
    <n v="80"/>
    <n v="0"/>
    <n v="8"/>
    <n v="3"/>
    <n v="1"/>
    <n v="0"/>
    <n v="0"/>
    <n v="0"/>
  </r>
  <r>
    <s v="No"/>
    <s v="Travel_Rarely"/>
    <x v="0"/>
    <s v="Current Employees"/>
    <x v="1"/>
    <x v="1"/>
    <s v="STAFF-1595"/>
    <n v="1595"/>
    <x v="1"/>
    <x v="5"/>
    <x v="0"/>
    <s v="No"/>
    <s v="Y"/>
    <n v="2"/>
    <n v="-2"/>
    <n v="0"/>
    <n v="42"/>
    <n v="0"/>
    <m/>
    <n v="0"/>
    <n v="1"/>
    <n v="1059"/>
    <n v="9"/>
    <x v="0"/>
    <n v="1"/>
    <n v="4"/>
    <n v="93"/>
    <n v="2"/>
    <n v="5"/>
    <n v="4"/>
    <n v="19613"/>
    <n v="26362"/>
    <n v="8"/>
    <n v="22"/>
    <n v="4"/>
    <n v="4"/>
    <n v="80"/>
    <n v="0"/>
    <n v="24"/>
    <n v="3"/>
    <n v="1"/>
    <n v="0"/>
    <n v="0"/>
    <n v="1"/>
  </r>
  <r>
    <s v="No"/>
    <s v="Travel_Rarely"/>
    <x v="3"/>
    <s v="Current Employees"/>
    <x v="0"/>
    <x v="3"/>
    <s v="STAFF-1578"/>
    <n v="1578"/>
    <x v="1"/>
    <x v="5"/>
    <x v="1"/>
    <s v="No"/>
    <s v="Y"/>
    <n v="3"/>
    <n v="-2"/>
    <n v="0"/>
    <n v="55"/>
    <n v="0"/>
    <m/>
    <n v="0"/>
    <n v="1"/>
    <n v="685"/>
    <n v="26"/>
    <x v="4"/>
    <n v="1"/>
    <n v="3"/>
    <n v="60"/>
    <n v="2"/>
    <n v="5"/>
    <n v="1"/>
    <n v="19586"/>
    <n v="23037"/>
    <n v="1"/>
    <n v="21"/>
    <n v="4"/>
    <n v="3"/>
    <n v="80"/>
    <n v="1"/>
    <n v="36"/>
    <n v="3"/>
    <n v="36"/>
    <n v="6"/>
    <n v="2"/>
    <n v="13"/>
  </r>
  <r>
    <s v="No"/>
    <s v="Travel_Rarely"/>
    <x v="2"/>
    <s v="Current Employees"/>
    <x v="0"/>
    <x v="4"/>
    <s v="STAFF-1823"/>
    <n v="1823"/>
    <x v="1"/>
    <x v="0"/>
    <x v="1"/>
    <s v="No"/>
    <s v="Y"/>
    <n v="5"/>
    <n v="-2"/>
    <n v="0"/>
    <n v="34"/>
    <n v="0"/>
    <m/>
    <n v="0"/>
    <n v="1"/>
    <n v="810"/>
    <n v="8"/>
    <x v="0"/>
    <n v="1"/>
    <n v="4"/>
    <n v="92"/>
    <n v="4"/>
    <n v="2"/>
    <n v="4"/>
    <n v="6799"/>
    <n v="22128"/>
    <n v="1"/>
    <n v="21"/>
    <n v="4"/>
    <n v="3"/>
    <n v="80"/>
    <n v="2"/>
    <n v="10"/>
    <n v="3"/>
    <n v="10"/>
    <n v="8"/>
    <n v="4"/>
    <n v="8"/>
  </r>
  <r>
    <s v="No"/>
    <s v="Travel_Rarely"/>
    <x v="2"/>
    <s v="Current Employees"/>
    <x v="0"/>
    <x v="3"/>
    <s v="STAFF-1950"/>
    <n v="1950"/>
    <x v="1"/>
    <x v="0"/>
    <x v="0"/>
    <s v="No"/>
    <s v="Y"/>
    <n v="3"/>
    <n v="-2"/>
    <n v="0"/>
    <n v="34"/>
    <n v="0"/>
    <m/>
    <n v="0"/>
    <n v="1"/>
    <n v="937"/>
    <n v="1"/>
    <x v="3"/>
    <n v="1"/>
    <n v="1"/>
    <n v="32"/>
    <n v="3"/>
    <n v="3"/>
    <n v="1"/>
    <n v="9888"/>
    <n v="6770"/>
    <n v="1"/>
    <n v="21"/>
    <n v="4"/>
    <n v="1"/>
    <n v="80"/>
    <n v="0"/>
    <n v="14"/>
    <n v="2"/>
    <n v="14"/>
    <n v="8"/>
    <n v="2"/>
    <n v="1"/>
  </r>
  <r>
    <s v="No"/>
    <s v="Non-Travel"/>
    <x v="1"/>
    <s v="Current Employees"/>
    <x v="1"/>
    <x v="2"/>
    <s v="STAFF-1775"/>
    <n v="1775"/>
    <x v="0"/>
    <x v="3"/>
    <x v="1"/>
    <s v="Yes"/>
    <s v="Y"/>
    <n v="2"/>
    <n v="-2"/>
    <n v="0"/>
    <n v="53"/>
    <n v="0"/>
    <m/>
    <n v="0"/>
    <n v="1"/>
    <n v="661"/>
    <n v="1"/>
    <x v="2"/>
    <n v="1"/>
    <n v="1"/>
    <n v="60"/>
    <n v="2"/>
    <n v="4"/>
    <n v="3"/>
    <n v="12965"/>
    <n v="22308"/>
    <n v="4"/>
    <n v="20"/>
    <n v="4"/>
    <n v="4"/>
    <n v="80"/>
    <n v="3"/>
    <n v="27"/>
    <n v="2"/>
    <n v="3"/>
    <n v="2"/>
    <n v="0"/>
    <n v="2"/>
  </r>
  <r>
    <s v="No"/>
    <s v="Non-Travel"/>
    <x v="2"/>
    <s v="Current Employees"/>
    <x v="0"/>
    <x v="0"/>
    <s v="STAFF-1681"/>
    <n v="1681"/>
    <x v="0"/>
    <x v="0"/>
    <x v="2"/>
    <s v="Yes"/>
    <s v="Y"/>
    <n v="2"/>
    <n v="-2"/>
    <n v="0"/>
    <n v="33"/>
    <n v="0"/>
    <m/>
    <n v="0"/>
    <n v="1"/>
    <n v="530"/>
    <n v="16"/>
    <x v="3"/>
    <n v="1"/>
    <n v="3"/>
    <n v="36"/>
    <n v="3"/>
    <n v="2"/>
    <n v="4"/>
    <n v="5368"/>
    <n v="16130"/>
    <n v="1"/>
    <n v="25"/>
    <n v="4"/>
    <n v="3"/>
    <n v="80"/>
    <n v="1"/>
    <n v="7"/>
    <n v="3"/>
    <n v="6"/>
    <n v="5"/>
    <n v="1"/>
    <n v="2"/>
  </r>
  <r>
    <s v="No"/>
    <s v="Travel_Rarely"/>
    <x v="0"/>
    <s v="Current Employees"/>
    <x v="1"/>
    <x v="0"/>
    <s v="STAFF-2017"/>
    <n v="2017"/>
    <x v="0"/>
    <x v="7"/>
    <x v="1"/>
    <s v="Yes"/>
    <s v="Y"/>
    <n v="2"/>
    <n v="-2"/>
    <n v="0"/>
    <n v="37"/>
    <n v="0"/>
    <m/>
    <n v="0"/>
    <n v="1"/>
    <n v="161"/>
    <n v="10"/>
    <x v="3"/>
    <n v="1"/>
    <n v="3"/>
    <n v="42"/>
    <n v="4"/>
    <n v="3"/>
    <n v="4"/>
    <n v="13744"/>
    <n v="15471"/>
    <n v="1"/>
    <n v="25"/>
    <n v="4"/>
    <n v="1"/>
    <n v="80"/>
    <n v="1"/>
    <n v="16"/>
    <n v="3"/>
    <n v="16"/>
    <n v="11"/>
    <n v="6"/>
    <n v="8"/>
  </r>
  <r>
    <s v="No"/>
    <s v="Travel_Rarely"/>
    <x v="3"/>
    <s v="Current Employees"/>
    <x v="1"/>
    <x v="2"/>
    <s v="STAFF-1423"/>
    <n v="1423"/>
    <x v="0"/>
    <x v="7"/>
    <x v="1"/>
    <s v="Yes"/>
    <s v="Y"/>
    <n v="3"/>
    <n v="-2"/>
    <n v="0"/>
    <n v="58"/>
    <n v="0"/>
    <m/>
    <n v="0"/>
    <n v="1"/>
    <n v="1055"/>
    <n v="1"/>
    <x v="3"/>
    <n v="1"/>
    <n v="4"/>
    <n v="76"/>
    <n v="3"/>
    <n v="5"/>
    <n v="1"/>
    <n v="19701"/>
    <n v="22456"/>
    <n v="3"/>
    <n v="21"/>
    <n v="4"/>
    <n v="3"/>
    <n v="80"/>
    <n v="1"/>
    <n v="32"/>
    <n v="3"/>
    <n v="9"/>
    <n v="8"/>
    <n v="1"/>
    <n v="5"/>
  </r>
  <r>
    <s v="No"/>
    <s v="Travel_Rarely"/>
    <x v="0"/>
    <s v="Current Employees"/>
    <x v="1"/>
    <x v="1"/>
    <s v="STAFF-1847"/>
    <n v="1847"/>
    <x v="0"/>
    <x v="1"/>
    <x v="1"/>
    <s v="Yes"/>
    <s v="Y"/>
    <n v="2"/>
    <n v="-2"/>
    <n v="0"/>
    <n v="36"/>
    <n v="0"/>
    <m/>
    <n v="0"/>
    <n v="1"/>
    <n v="430"/>
    <n v="2"/>
    <x v="2"/>
    <n v="1"/>
    <n v="4"/>
    <n v="73"/>
    <n v="3"/>
    <n v="2"/>
    <n v="2"/>
    <n v="6962"/>
    <n v="19573"/>
    <n v="4"/>
    <n v="22"/>
    <n v="4"/>
    <n v="4"/>
    <n v="80"/>
    <n v="1"/>
    <n v="15"/>
    <n v="3"/>
    <n v="1"/>
    <n v="0"/>
    <n v="0"/>
    <n v="0"/>
  </r>
  <r>
    <s v="No"/>
    <s v="Travel_Rarely"/>
    <x v="2"/>
    <s v="Current Employees"/>
    <x v="0"/>
    <x v="1"/>
    <s v="STAFF-2018"/>
    <n v="2018"/>
    <x v="0"/>
    <x v="0"/>
    <x v="2"/>
    <s v="Yes"/>
    <s v="Y"/>
    <n v="3"/>
    <n v="-2"/>
    <n v="0"/>
    <n v="25"/>
    <n v="0"/>
    <m/>
    <n v="0"/>
    <n v="1"/>
    <n v="1382"/>
    <n v="8"/>
    <x v="0"/>
    <n v="1"/>
    <n v="1"/>
    <n v="85"/>
    <n v="3"/>
    <n v="2"/>
    <n v="3"/>
    <n v="4907"/>
    <n v="13684"/>
    <n v="0"/>
    <n v="22"/>
    <n v="4"/>
    <n v="2"/>
    <n v="80"/>
    <n v="1"/>
    <n v="6"/>
    <n v="2"/>
    <n v="5"/>
    <n v="3"/>
    <n v="0"/>
    <n v="4"/>
  </r>
  <r>
    <s v="No"/>
    <s v="Travel_Rarely"/>
    <x v="0"/>
    <s v="Current Employees"/>
    <x v="0"/>
    <x v="3"/>
    <s v="STAFF-1835"/>
    <n v="1835"/>
    <x v="0"/>
    <x v="6"/>
    <x v="1"/>
    <s v="Yes"/>
    <s v="Y"/>
    <n v="4"/>
    <n v="-2"/>
    <n v="0"/>
    <n v="38"/>
    <n v="0"/>
    <m/>
    <n v="0"/>
    <n v="1"/>
    <n v="723"/>
    <n v="2"/>
    <x v="2"/>
    <n v="1"/>
    <n v="2"/>
    <n v="77"/>
    <n v="1"/>
    <n v="2"/>
    <n v="1"/>
    <n v="5405"/>
    <n v="4244"/>
    <n v="2"/>
    <n v="20"/>
    <n v="4"/>
    <n v="1"/>
    <n v="80"/>
    <n v="2"/>
    <n v="20"/>
    <n v="2"/>
    <n v="4"/>
    <n v="2"/>
    <n v="0"/>
    <n v="3"/>
  </r>
  <r>
    <s v="No"/>
    <s v="Travel_Rarely"/>
    <x v="0"/>
    <s v="Current Employees"/>
    <x v="2"/>
    <x v="2"/>
    <s v="STAFF-1550"/>
    <n v="1550"/>
    <x v="1"/>
    <x v="5"/>
    <x v="0"/>
    <s v="Yes"/>
    <s v="Y"/>
    <n v="2"/>
    <n v="-2"/>
    <n v="0"/>
    <n v="40"/>
    <n v="0"/>
    <m/>
    <n v="0"/>
    <n v="1"/>
    <n v="898"/>
    <n v="6"/>
    <x v="0"/>
    <n v="1"/>
    <n v="3"/>
    <n v="38"/>
    <n v="3"/>
    <n v="4"/>
    <n v="4"/>
    <n v="16437"/>
    <n v="17381"/>
    <n v="1"/>
    <n v="21"/>
    <n v="4"/>
    <n v="4"/>
    <n v="80"/>
    <n v="0"/>
    <n v="21"/>
    <n v="3"/>
    <n v="21"/>
    <n v="7"/>
    <n v="7"/>
    <n v="7"/>
  </r>
  <r>
    <s v="No"/>
    <s v="Travel_Rarely"/>
    <x v="2"/>
    <s v="Current Employees"/>
    <x v="1"/>
    <x v="0"/>
    <s v="STAFF-2064"/>
    <n v="2064"/>
    <x v="1"/>
    <x v="3"/>
    <x v="1"/>
    <s v="Yes"/>
    <s v="Y"/>
    <n v="0"/>
    <n v="-2"/>
    <n v="0"/>
    <n v="27"/>
    <n v="0"/>
    <m/>
    <n v="0"/>
    <n v="1"/>
    <n v="155"/>
    <n v="4"/>
    <x v="3"/>
    <n v="1"/>
    <n v="2"/>
    <n v="87"/>
    <n v="4"/>
    <n v="2"/>
    <n v="2"/>
    <n v="6142"/>
    <n v="5174"/>
    <n v="1"/>
    <n v="20"/>
    <n v="4"/>
    <n v="2"/>
    <n v="80"/>
    <n v="1"/>
    <n v="6"/>
    <n v="3"/>
    <n v="6"/>
    <n v="2"/>
    <n v="0"/>
    <n v="3"/>
  </r>
  <r>
    <s v="No"/>
    <s v="Travel_Rarely"/>
    <x v="0"/>
    <s v="Current Employees"/>
    <x v="1"/>
    <x v="2"/>
    <s v="STAFF-1885"/>
    <n v="1885"/>
    <x v="1"/>
    <x v="1"/>
    <x v="1"/>
    <s v="Yes"/>
    <s v="Y"/>
    <n v="2"/>
    <n v="-2"/>
    <n v="0"/>
    <n v="37"/>
    <n v="0"/>
    <m/>
    <n v="0"/>
    <n v="1"/>
    <n v="783"/>
    <n v="7"/>
    <x v="2"/>
    <n v="1"/>
    <n v="4"/>
    <n v="78"/>
    <n v="3"/>
    <n v="2"/>
    <n v="1"/>
    <n v="4284"/>
    <n v="13588"/>
    <n v="5"/>
    <n v="22"/>
    <n v="4"/>
    <n v="3"/>
    <n v="80"/>
    <n v="1"/>
    <n v="16"/>
    <n v="3"/>
    <n v="5"/>
    <n v="3"/>
    <n v="0"/>
    <n v="4"/>
  </r>
  <r>
    <s v="No"/>
    <s v="Travel_Rarely"/>
    <x v="2"/>
    <s v="Current Employees"/>
    <x v="0"/>
    <x v="4"/>
    <s v="STAFF-1541"/>
    <n v="1541"/>
    <x v="1"/>
    <x v="6"/>
    <x v="1"/>
    <s v="Yes"/>
    <s v="Y"/>
    <n v="4"/>
    <n v="-2"/>
    <n v="0"/>
    <n v="34"/>
    <n v="0"/>
    <m/>
    <n v="0"/>
    <n v="1"/>
    <n v="1440"/>
    <n v="7"/>
    <x v="0"/>
    <n v="1"/>
    <n v="4"/>
    <n v="55"/>
    <n v="3"/>
    <n v="1"/>
    <n v="4"/>
    <n v="2308"/>
    <n v="4944"/>
    <n v="0"/>
    <n v="25"/>
    <n v="4"/>
    <n v="2"/>
    <n v="80"/>
    <n v="1"/>
    <n v="12"/>
    <n v="3"/>
    <n v="11"/>
    <n v="10"/>
    <n v="5"/>
    <n v="7"/>
  </r>
  <r>
    <s v="No"/>
    <s v="Travel_Rarely"/>
    <x v="0"/>
    <s v="Current Employees"/>
    <x v="0"/>
    <x v="0"/>
    <s v="STAFF-1556"/>
    <n v="1556"/>
    <x v="1"/>
    <x v="6"/>
    <x v="0"/>
    <s v="Yes"/>
    <s v="Y"/>
    <n v="3"/>
    <n v="-2"/>
    <n v="0"/>
    <n v="36"/>
    <n v="0"/>
    <m/>
    <n v="0"/>
    <n v="1"/>
    <n v="1157"/>
    <n v="2"/>
    <x v="2"/>
    <n v="1"/>
    <n v="3"/>
    <n v="70"/>
    <n v="3"/>
    <n v="1"/>
    <n v="4"/>
    <n v="2644"/>
    <n v="17001"/>
    <n v="3"/>
    <n v="21"/>
    <n v="4"/>
    <n v="4"/>
    <n v="80"/>
    <n v="0"/>
    <n v="7"/>
    <n v="2"/>
    <n v="3"/>
    <n v="2"/>
    <n v="1"/>
    <n v="2"/>
  </r>
  <r>
    <s v="Yes"/>
    <s v="Travel_Frequently"/>
    <x v="2"/>
    <s v="Ex-Employees"/>
    <x v="2"/>
    <x v="5"/>
    <s v="STAFF-1747"/>
    <n v="1747"/>
    <x v="0"/>
    <x v="8"/>
    <x v="2"/>
    <s v="No"/>
    <s v="Y"/>
    <n v="0"/>
    <n v="-2"/>
    <n v="0"/>
    <n v="30"/>
    <n v="1"/>
    <n v="1"/>
    <n v="1"/>
    <n v="0"/>
    <n v="600"/>
    <n v="8"/>
    <x v="3"/>
    <n v="1"/>
    <n v="3"/>
    <n v="66"/>
    <n v="2"/>
    <n v="1"/>
    <n v="4"/>
    <n v="2180"/>
    <n v="9732"/>
    <n v="6"/>
    <n v="11"/>
    <n v="3"/>
    <n v="3"/>
    <n v="80"/>
    <n v="1"/>
    <n v="6"/>
    <n v="2"/>
    <n v="4"/>
    <n v="2"/>
    <n v="1"/>
    <n v="2"/>
  </r>
  <r>
    <s v="Yes"/>
    <s v="Travel_Frequently"/>
    <x v="2"/>
    <s v="Ex-Employees"/>
    <x v="2"/>
    <x v="5"/>
    <s v="STAFF-1944"/>
    <n v="1944"/>
    <x v="0"/>
    <x v="8"/>
    <x v="1"/>
    <s v="No"/>
    <s v="Y"/>
    <n v="2"/>
    <n v="-2"/>
    <n v="0"/>
    <n v="27"/>
    <n v="1"/>
    <n v="1"/>
    <n v="1"/>
    <n v="0"/>
    <n v="1337"/>
    <n v="22"/>
    <x v="3"/>
    <n v="1"/>
    <n v="1"/>
    <n v="58"/>
    <n v="2"/>
    <n v="1"/>
    <n v="2"/>
    <n v="2863"/>
    <n v="19555"/>
    <n v="1"/>
    <n v="12"/>
    <n v="3"/>
    <n v="1"/>
    <n v="80"/>
    <n v="0"/>
    <n v="1"/>
    <n v="3"/>
    <n v="1"/>
    <n v="0"/>
    <n v="0"/>
    <n v="0"/>
  </r>
  <r>
    <s v="Yes"/>
    <s v="Travel_Frequently"/>
    <x v="2"/>
    <s v="Ex-Employees"/>
    <x v="1"/>
    <x v="0"/>
    <s v="STAFF-1459"/>
    <n v="1459"/>
    <x v="0"/>
    <x v="3"/>
    <x v="0"/>
    <s v="No"/>
    <s v="Y"/>
    <n v="2"/>
    <n v="-2"/>
    <n v="0"/>
    <n v="31"/>
    <n v="1"/>
    <n v="1"/>
    <n v="1"/>
    <n v="0"/>
    <n v="1445"/>
    <n v="1"/>
    <x v="4"/>
    <n v="1"/>
    <n v="3"/>
    <n v="100"/>
    <n v="4"/>
    <n v="3"/>
    <n v="2"/>
    <n v="7446"/>
    <n v="8931"/>
    <n v="1"/>
    <n v="11"/>
    <n v="3"/>
    <n v="1"/>
    <n v="80"/>
    <n v="0"/>
    <n v="10"/>
    <n v="3"/>
    <n v="10"/>
    <n v="8"/>
    <n v="4"/>
    <n v="7"/>
  </r>
  <r>
    <s v="Yes"/>
    <s v="Travel_Frequently"/>
    <x v="2"/>
    <s v="Ex-Employees"/>
    <x v="1"/>
    <x v="0"/>
    <s v="STAFF-1537"/>
    <n v="1537"/>
    <x v="0"/>
    <x v="1"/>
    <x v="0"/>
    <s v="No"/>
    <s v="Y"/>
    <n v="2"/>
    <n v="-2"/>
    <n v="0"/>
    <n v="31"/>
    <n v="1"/>
    <n v="1"/>
    <n v="1"/>
    <n v="0"/>
    <n v="561"/>
    <n v="3"/>
    <x v="3"/>
    <n v="1"/>
    <n v="4"/>
    <n v="33"/>
    <n v="3"/>
    <n v="1"/>
    <n v="3"/>
    <n v="4084"/>
    <n v="4156"/>
    <n v="1"/>
    <n v="12"/>
    <n v="3"/>
    <n v="1"/>
    <n v="80"/>
    <n v="0"/>
    <n v="7"/>
    <n v="1"/>
    <n v="7"/>
    <n v="2"/>
    <n v="7"/>
    <n v="7"/>
  </r>
  <r>
    <s v="Yes"/>
    <s v="Travel_Frequently"/>
    <x v="2"/>
    <s v="Ex-Employees"/>
    <x v="0"/>
    <x v="4"/>
    <s v="STAFF-1487"/>
    <n v="1487"/>
    <x v="0"/>
    <x v="0"/>
    <x v="0"/>
    <s v="No"/>
    <s v="Y"/>
    <n v="4"/>
    <n v="-2"/>
    <n v="0"/>
    <n v="29"/>
    <n v="1"/>
    <n v="1"/>
    <n v="1"/>
    <n v="0"/>
    <n v="115"/>
    <n v="13"/>
    <x v="3"/>
    <n v="1"/>
    <n v="4"/>
    <n v="51"/>
    <n v="3"/>
    <n v="2"/>
    <n v="4"/>
    <n v="5765"/>
    <n v="17485"/>
    <n v="5"/>
    <n v="11"/>
    <n v="3"/>
    <n v="1"/>
    <n v="80"/>
    <n v="0"/>
    <n v="7"/>
    <n v="1"/>
    <n v="5"/>
    <n v="3"/>
    <n v="0"/>
    <n v="0"/>
  </r>
  <r>
    <s v="Yes"/>
    <s v="Travel_Frequently"/>
    <x v="2"/>
    <s v="Ex-Employees"/>
    <x v="0"/>
    <x v="0"/>
    <s v="STAFF-1427"/>
    <n v="1427"/>
    <x v="0"/>
    <x v="6"/>
    <x v="0"/>
    <s v="No"/>
    <s v="Y"/>
    <n v="3"/>
    <n v="-2"/>
    <n v="0"/>
    <n v="31"/>
    <n v="1"/>
    <n v="1"/>
    <n v="1"/>
    <n v="0"/>
    <n v="667"/>
    <n v="1"/>
    <x v="2"/>
    <n v="1"/>
    <n v="2"/>
    <n v="50"/>
    <n v="1"/>
    <n v="1"/>
    <n v="3"/>
    <n v="1359"/>
    <n v="16154"/>
    <n v="1"/>
    <n v="12"/>
    <n v="3"/>
    <n v="2"/>
    <n v="80"/>
    <n v="0"/>
    <n v="1"/>
    <n v="3"/>
    <n v="1"/>
    <n v="0"/>
    <n v="0"/>
    <n v="0"/>
  </r>
  <r>
    <s v="Yes"/>
    <s v="Travel_Rarely"/>
    <x v="2"/>
    <s v="Ex-Employees"/>
    <x v="2"/>
    <x v="4"/>
    <s v="STAFF-1467"/>
    <n v="1467"/>
    <x v="0"/>
    <x v="8"/>
    <x v="1"/>
    <s v="No"/>
    <s v="Y"/>
    <n v="0"/>
    <n v="-2"/>
    <n v="0"/>
    <n v="34"/>
    <n v="1"/>
    <n v="1"/>
    <n v="1"/>
    <n v="0"/>
    <n v="1107"/>
    <n v="9"/>
    <x v="2"/>
    <n v="1"/>
    <n v="4"/>
    <n v="52"/>
    <n v="3"/>
    <n v="1"/>
    <n v="4"/>
    <n v="2742"/>
    <n v="3072"/>
    <n v="1"/>
    <n v="15"/>
    <n v="3"/>
    <n v="4"/>
    <n v="80"/>
    <n v="0"/>
    <n v="2"/>
    <n v="3"/>
    <n v="2"/>
    <n v="2"/>
    <n v="2"/>
    <n v="2"/>
  </r>
  <r>
    <s v="Yes"/>
    <s v="Travel_Rarely"/>
    <x v="1"/>
    <s v="Ex-Employees"/>
    <x v="1"/>
    <x v="4"/>
    <s v="STAFF-1572"/>
    <n v="1572"/>
    <x v="0"/>
    <x v="3"/>
    <x v="1"/>
    <s v="No"/>
    <s v="Y"/>
    <n v="4"/>
    <n v="-2"/>
    <n v="0"/>
    <n v="53"/>
    <n v="1"/>
    <n v="1"/>
    <n v="1"/>
    <n v="0"/>
    <n v="607"/>
    <n v="2"/>
    <x v="4"/>
    <n v="1"/>
    <n v="3"/>
    <n v="78"/>
    <n v="2"/>
    <n v="3"/>
    <n v="4"/>
    <n v="10169"/>
    <n v="14618"/>
    <n v="0"/>
    <n v="16"/>
    <n v="3"/>
    <n v="2"/>
    <n v="80"/>
    <n v="1"/>
    <n v="34"/>
    <n v="3"/>
    <n v="33"/>
    <n v="7"/>
    <n v="1"/>
    <n v="9"/>
  </r>
  <r>
    <s v="Yes"/>
    <s v="Travel_Rarely"/>
    <x v="2"/>
    <s v="Ex-Employees"/>
    <x v="1"/>
    <x v="0"/>
    <s v="STAFF-1433"/>
    <n v="1433"/>
    <x v="0"/>
    <x v="1"/>
    <x v="0"/>
    <s v="No"/>
    <s v="Y"/>
    <n v="3"/>
    <n v="-2"/>
    <n v="0"/>
    <n v="31"/>
    <n v="1"/>
    <n v="1"/>
    <n v="1"/>
    <n v="0"/>
    <n v="202"/>
    <n v="8"/>
    <x v="3"/>
    <n v="1"/>
    <n v="1"/>
    <n v="34"/>
    <n v="2"/>
    <n v="1"/>
    <n v="2"/>
    <n v="1261"/>
    <n v="22262"/>
    <n v="1"/>
    <n v="12"/>
    <n v="3"/>
    <n v="3"/>
    <n v="80"/>
    <n v="0"/>
    <n v="1"/>
    <n v="4"/>
    <n v="1"/>
    <n v="0"/>
    <n v="0"/>
    <n v="0"/>
  </r>
  <r>
    <s v="Yes"/>
    <s v="Travel_Rarely"/>
    <x v="2"/>
    <s v="Ex-Employees"/>
    <x v="0"/>
    <x v="3"/>
    <s v="STAFF-1752"/>
    <n v="1752"/>
    <x v="0"/>
    <x v="6"/>
    <x v="0"/>
    <s v="No"/>
    <s v="Y"/>
    <n v="3"/>
    <n v="-2"/>
    <n v="0"/>
    <n v="29"/>
    <n v="1"/>
    <n v="1"/>
    <n v="1"/>
    <n v="0"/>
    <n v="428"/>
    <n v="9"/>
    <x v="3"/>
    <n v="1"/>
    <n v="2"/>
    <n v="52"/>
    <n v="1"/>
    <n v="1"/>
    <n v="1"/>
    <n v="2760"/>
    <n v="14630"/>
    <n v="1"/>
    <n v="13"/>
    <n v="3"/>
    <n v="3"/>
    <n v="80"/>
    <n v="0"/>
    <n v="2"/>
    <n v="3"/>
    <n v="2"/>
    <n v="2"/>
    <n v="2"/>
    <n v="2"/>
  </r>
  <r>
    <s v="Yes"/>
    <s v="Travel_Frequently"/>
    <x v="2"/>
    <s v="Ex-Employees"/>
    <x v="1"/>
    <x v="0"/>
    <s v="STAFF-1807"/>
    <n v="1807"/>
    <x v="1"/>
    <x v="2"/>
    <x v="1"/>
    <s v="No"/>
    <s v="Y"/>
    <n v="3"/>
    <n v="-2"/>
    <n v="0"/>
    <n v="34"/>
    <n v="1"/>
    <n v="1"/>
    <n v="1"/>
    <n v="0"/>
    <n v="234"/>
    <n v="9"/>
    <x v="2"/>
    <n v="1"/>
    <n v="4"/>
    <n v="93"/>
    <n v="3"/>
    <n v="2"/>
    <n v="1"/>
    <n v="5346"/>
    <n v="6208"/>
    <n v="4"/>
    <n v="17"/>
    <n v="3"/>
    <n v="3"/>
    <n v="80"/>
    <n v="1"/>
    <n v="11"/>
    <n v="2"/>
    <n v="7"/>
    <n v="1"/>
    <n v="0"/>
    <n v="7"/>
  </r>
  <r>
    <s v="Yes"/>
    <s v="Travel_Frequently"/>
    <x v="2"/>
    <s v="Ex-Employees"/>
    <x v="1"/>
    <x v="2"/>
    <s v="STAFF-1504"/>
    <n v="1504"/>
    <x v="1"/>
    <x v="2"/>
    <x v="0"/>
    <s v="No"/>
    <s v="Y"/>
    <n v="2"/>
    <n v="-2"/>
    <n v="0"/>
    <n v="28"/>
    <n v="1"/>
    <n v="1"/>
    <n v="1"/>
    <n v="0"/>
    <n v="289"/>
    <n v="2"/>
    <x v="0"/>
    <n v="1"/>
    <n v="3"/>
    <n v="38"/>
    <n v="2"/>
    <n v="1"/>
    <n v="1"/>
    <n v="2561"/>
    <n v="5355"/>
    <n v="7"/>
    <n v="11"/>
    <n v="3"/>
    <n v="3"/>
    <n v="80"/>
    <n v="0"/>
    <n v="8"/>
    <n v="2"/>
    <n v="0"/>
    <n v="0"/>
    <n v="0"/>
    <n v="0"/>
  </r>
  <r>
    <s v="Yes"/>
    <s v="Travel_Frequently"/>
    <x v="1"/>
    <s v="Ex-Employees"/>
    <x v="0"/>
    <x v="0"/>
    <s v="STAFF-2044"/>
    <n v="2044"/>
    <x v="1"/>
    <x v="0"/>
    <x v="2"/>
    <s v="No"/>
    <s v="Y"/>
    <n v="3"/>
    <n v="-2"/>
    <n v="0"/>
    <n v="50"/>
    <n v="1"/>
    <n v="1"/>
    <n v="1"/>
    <n v="0"/>
    <n v="878"/>
    <n v="1"/>
    <x v="2"/>
    <n v="1"/>
    <n v="2"/>
    <n v="94"/>
    <n v="3"/>
    <n v="2"/>
    <n v="3"/>
    <n v="6728"/>
    <n v="14255"/>
    <n v="7"/>
    <n v="12"/>
    <n v="3"/>
    <n v="4"/>
    <n v="80"/>
    <n v="2"/>
    <n v="12"/>
    <n v="3"/>
    <n v="6"/>
    <n v="3"/>
    <n v="0"/>
    <n v="1"/>
  </r>
  <r>
    <s v="Yes"/>
    <s v="Travel_Frequently"/>
    <x v="1"/>
    <s v="Ex-Employees"/>
    <x v="0"/>
    <x v="0"/>
    <s v="STAFF-1716"/>
    <n v="1716"/>
    <x v="1"/>
    <x v="0"/>
    <x v="1"/>
    <s v="No"/>
    <s v="Y"/>
    <n v="3"/>
    <n v="-2"/>
    <n v="0"/>
    <n v="47"/>
    <n v="1"/>
    <n v="1"/>
    <n v="1"/>
    <n v="0"/>
    <n v="1093"/>
    <n v="9"/>
    <x v="3"/>
    <n v="1"/>
    <n v="3"/>
    <n v="82"/>
    <n v="1"/>
    <n v="4"/>
    <n v="3"/>
    <n v="12936"/>
    <n v="24164"/>
    <n v="7"/>
    <n v="11"/>
    <n v="3"/>
    <n v="3"/>
    <n v="80"/>
    <n v="0"/>
    <n v="25"/>
    <n v="1"/>
    <n v="23"/>
    <n v="5"/>
    <n v="14"/>
    <n v="10"/>
  </r>
  <r>
    <s v="Yes"/>
    <s v="Travel_Frequently"/>
    <x v="2"/>
    <s v="Ex-Employees"/>
    <x v="0"/>
    <x v="4"/>
    <s v="STAFF-1486"/>
    <n v="1486"/>
    <x v="1"/>
    <x v="6"/>
    <x v="1"/>
    <s v="No"/>
    <s v="Y"/>
    <n v="3"/>
    <n v="-2"/>
    <n v="0"/>
    <n v="28"/>
    <n v="1"/>
    <n v="1"/>
    <n v="1"/>
    <n v="0"/>
    <n v="1496"/>
    <n v="1"/>
    <x v="3"/>
    <n v="1"/>
    <n v="1"/>
    <n v="92"/>
    <n v="3"/>
    <n v="1"/>
    <n v="4"/>
    <n v="2909"/>
    <n v="15747"/>
    <n v="3"/>
    <n v="15"/>
    <n v="3"/>
    <n v="4"/>
    <n v="80"/>
    <n v="1"/>
    <n v="5"/>
    <n v="4"/>
    <n v="3"/>
    <n v="2"/>
    <n v="1"/>
    <n v="2"/>
  </r>
  <r>
    <s v="Yes"/>
    <s v="Travel_Frequently"/>
    <x v="4"/>
    <s v="Ex-Employees"/>
    <x v="0"/>
    <x v="3"/>
    <s v="STAFF-2023"/>
    <n v="2023"/>
    <x v="1"/>
    <x v="6"/>
    <x v="1"/>
    <s v="No"/>
    <s v="Y"/>
    <n v="3"/>
    <n v="-2"/>
    <n v="0"/>
    <n v="23"/>
    <n v="1"/>
    <n v="1"/>
    <n v="1"/>
    <n v="0"/>
    <n v="638"/>
    <n v="9"/>
    <x v="3"/>
    <n v="1"/>
    <n v="4"/>
    <n v="33"/>
    <n v="3"/>
    <n v="1"/>
    <n v="1"/>
    <n v="1790"/>
    <n v="26956"/>
    <n v="1"/>
    <n v="19"/>
    <n v="3"/>
    <n v="1"/>
    <n v="80"/>
    <n v="1"/>
    <n v="1"/>
    <n v="2"/>
    <n v="1"/>
    <n v="0"/>
    <n v="1"/>
    <n v="0"/>
  </r>
  <r>
    <s v="Yes"/>
    <s v="Travel_Frequently"/>
    <x v="2"/>
    <s v="Ex-Employees"/>
    <x v="0"/>
    <x v="4"/>
    <s v="STAFF-1928"/>
    <n v="1928"/>
    <x v="1"/>
    <x v="6"/>
    <x v="0"/>
    <s v="No"/>
    <s v="Y"/>
    <n v="3"/>
    <n v="-2"/>
    <n v="0"/>
    <n v="29"/>
    <n v="1"/>
    <n v="1"/>
    <n v="1"/>
    <n v="0"/>
    <n v="746"/>
    <n v="24"/>
    <x v="3"/>
    <n v="1"/>
    <n v="3"/>
    <n v="45"/>
    <n v="4"/>
    <n v="1"/>
    <n v="4"/>
    <n v="1091"/>
    <n v="10642"/>
    <n v="1"/>
    <n v="17"/>
    <n v="3"/>
    <n v="4"/>
    <n v="80"/>
    <n v="0"/>
    <n v="1"/>
    <n v="3"/>
    <n v="1"/>
    <n v="0"/>
    <n v="0"/>
    <n v="0"/>
  </r>
  <r>
    <s v="Yes"/>
    <s v="Travel_Rarely"/>
    <x v="2"/>
    <s v="Ex-Employees"/>
    <x v="2"/>
    <x v="5"/>
    <s v="STAFF-1842"/>
    <n v="1842"/>
    <x v="1"/>
    <x v="8"/>
    <x v="1"/>
    <s v="No"/>
    <s v="Y"/>
    <n v="4"/>
    <n v="-2"/>
    <n v="0"/>
    <n v="31"/>
    <n v="1"/>
    <n v="1"/>
    <n v="1"/>
    <n v="0"/>
    <n v="359"/>
    <n v="18"/>
    <x v="4"/>
    <n v="1"/>
    <n v="4"/>
    <n v="89"/>
    <n v="4"/>
    <n v="1"/>
    <n v="1"/>
    <n v="2956"/>
    <n v="21495"/>
    <n v="0"/>
    <n v="17"/>
    <n v="3"/>
    <n v="3"/>
    <n v="80"/>
    <n v="0"/>
    <n v="2"/>
    <n v="3"/>
    <n v="1"/>
    <n v="0"/>
    <n v="0"/>
    <n v="0"/>
  </r>
  <r>
    <s v="Yes"/>
    <s v="Travel_Rarely"/>
    <x v="4"/>
    <s v="Ex-Employees"/>
    <x v="2"/>
    <x v="5"/>
    <s v="STAFF-1714"/>
    <n v="1714"/>
    <x v="1"/>
    <x v="8"/>
    <x v="1"/>
    <s v="No"/>
    <s v="Y"/>
    <n v="2"/>
    <n v="-2"/>
    <n v="0"/>
    <n v="24"/>
    <n v="1"/>
    <n v="1"/>
    <n v="1"/>
    <n v="0"/>
    <n v="240"/>
    <n v="22"/>
    <x v="1"/>
    <n v="1"/>
    <n v="4"/>
    <n v="58"/>
    <n v="1"/>
    <n v="1"/>
    <n v="3"/>
    <n v="1555"/>
    <n v="11585"/>
    <n v="1"/>
    <n v="11"/>
    <n v="3"/>
    <n v="3"/>
    <n v="80"/>
    <n v="1"/>
    <n v="1"/>
    <n v="3"/>
    <n v="1"/>
    <n v="0"/>
    <n v="0"/>
    <n v="0"/>
  </r>
  <r>
    <s v="Yes"/>
    <s v="Travel_Rarely"/>
    <x v="2"/>
    <s v="Ex-Employees"/>
    <x v="1"/>
    <x v="4"/>
    <s v="STAFF-1960"/>
    <n v="1960"/>
    <x v="1"/>
    <x v="2"/>
    <x v="2"/>
    <s v="No"/>
    <s v="Y"/>
    <n v="2"/>
    <n v="-2"/>
    <n v="0"/>
    <n v="28"/>
    <n v="1"/>
    <n v="1"/>
    <n v="1"/>
    <n v="0"/>
    <n v="1404"/>
    <n v="17"/>
    <x v="3"/>
    <n v="1"/>
    <n v="3"/>
    <n v="32"/>
    <n v="2"/>
    <n v="1"/>
    <n v="4"/>
    <n v="2367"/>
    <n v="18779"/>
    <n v="5"/>
    <n v="12"/>
    <n v="3"/>
    <n v="1"/>
    <n v="80"/>
    <n v="1"/>
    <n v="6"/>
    <n v="2"/>
    <n v="4"/>
    <n v="1"/>
    <n v="0"/>
    <n v="3"/>
  </r>
  <r>
    <s v="Yes"/>
    <s v="Travel_Rarely"/>
    <x v="3"/>
    <s v="Ex-Employees"/>
    <x v="1"/>
    <x v="4"/>
    <s v="STAFF-2032"/>
    <n v="2032"/>
    <x v="1"/>
    <x v="2"/>
    <x v="1"/>
    <s v="No"/>
    <s v="Y"/>
    <n v="4"/>
    <n v="-2"/>
    <n v="0"/>
    <n v="56"/>
    <n v="1"/>
    <n v="1"/>
    <n v="1"/>
    <n v="0"/>
    <n v="310"/>
    <n v="7"/>
    <x v="0"/>
    <n v="1"/>
    <n v="4"/>
    <n v="72"/>
    <n v="3"/>
    <n v="1"/>
    <n v="4"/>
    <n v="2339"/>
    <n v="3666"/>
    <n v="8"/>
    <n v="11"/>
    <n v="3"/>
    <n v="4"/>
    <n v="80"/>
    <n v="1"/>
    <n v="14"/>
    <n v="1"/>
    <n v="10"/>
    <n v="9"/>
    <n v="9"/>
    <n v="8"/>
  </r>
  <r>
    <s v="Yes"/>
    <s v="Travel_Rarely"/>
    <x v="0"/>
    <s v="Ex-Employees"/>
    <x v="1"/>
    <x v="2"/>
    <s v="STAFF-1573"/>
    <n v="1573"/>
    <x v="1"/>
    <x v="3"/>
    <x v="1"/>
    <s v="No"/>
    <s v="Y"/>
    <n v="2"/>
    <n v="-2"/>
    <n v="0"/>
    <n v="38"/>
    <n v="1"/>
    <n v="1"/>
    <n v="1"/>
    <n v="0"/>
    <n v="903"/>
    <n v="2"/>
    <x v="3"/>
    <n v="1"/>
    <n v="3"/>
    <n v="81"/>
    <n v="3"/>
    <n v="2"/>
    <n v="2"/>
    <n v="4855"/>
    <n v="7653"/>
    <n v="4"/>
    <n v="11"/>
    <n v="3"/>
    <n v="1"/>
    <n v="80"/>
    <n v="2"/>
    <n v="7"/>
    <n v="3"/>
    <n v="5"/>
    <n v="2"/>
    <n v="1"/>
    <n v="4"/>
  </r>
  <r>
    <s v="Yes"/>
    <s v="Travel_Rarely"/>
    <x v="2"/>
    <s v="Ex-Employees"/>
    <x v="1"/>
    <x v="4"/>
    <s v="STAFF-1522"/>
    <n v="1522"/>
    <x v="1"/>
    <x v="1"/>
    <x v="0"/>
    <s v="No"/>
    <s v="Y"/>
    <n v="2"/>
    <n v="-2"/>
    <n v="0"/>
    <n v="29"/>
    <n v="1"/>
    <n v="1"/>
    <n v="1"/>
    <n v="0"/>
    <n v="224"/>
    <n v="1"/>
    <x v="2"/>
    <n v="1"/>
    <n v="1"/>
    <n v="100"/>
    <n v="2"/>
    <n v="1"/>
    <n v="1"/>
    <n v="2362"/>
    <n v="7568"/>
    <n v="6"/>
    <n v="13"/>
    <n v="3"/>
    <n v="3"/>
    <n v="80"/>
    <n v="0"/>
    <n v="11"/>
    <n v="1"/>
    <n v="9"/>
    <n v="7"/>
    <n v="0"/>
    <n v="7"/>
  </r>
  <r>
    <s v="Yes"/>
    <s v="Travel_Rarely"/>
    <x v="3"/>
    <s v="Ex-Employees"/>
    <x v="1"/>
    <x v="0"/>
    <s v="STAFF-1907"/>
    <n v="1907"/>
    <x v="1"/>
    <x v="2"/>
    <x v="0"/>
    <s v="No"/>
    <s v="Y"/>
    <n v="3"/>
    <n v="-2"/>
    <n v="0"/>
    <n v="56"/>
    <n v="1"/>
    <n v="1"/>
    <n v="1"/>
    <n v="0"/>
    <n v="1162"/>
    <n v="24"/>
    <x v="0"/>
    <n v="1"/>
    <n v="1"/>
    <n v="97"/>
    <n v="3"/>
    <n v="1"/>
    <n v="4"/>
    <n v="2587"/>
    <n v="10261"/>
    <n v="1"/>
    <n v="16"/>
    <n v="3"/>
    <n v="4"/>
    <n v="80"/>
    <n v="0"/>
    <n v="5"/>
    <n v="3"/>
    <n v="4"/>
    <n v="2"/>
    <n v="1"/>
    <n v="0"/>
  </r>
  <r>
    <s v="Yes"/>
    <s v="Travel_Rarely"/>
    <x v="0"/>
    <s v="Ex-Employees"/>
    <x v="1"/>
    <x v="0"/>
    <s v="STAFF-1534"/>
    <n v="1534"/>
    <x v="1"/>
    <x v="2"/>
    <x v="0"/>
    <s v="No"/>
    <s v="Y"/>
    <n v="3"/>
    <n v="-2"/>
    <n v="0"/>
    <n v="40"/>
    <n v="1"/>
    <n v="1"/>
    <n v="1"/>
    <n v="0"/>
    <n v="676"/>
    <n v="9"/>
    <x v="2"/>
    <n v="1"/>
    <n v="4"/>
    <n v="86"/>
    <n v="3"/>
    <n v="1"/>
    <n v="1"/>
    <n v="2018"/>
    <n v="21831"/>
    <n v="3"/>
    <n v="14"/>
    <n v="3"/>
    <n v="2"/>
    <n v="80"/>
    <n v="0"/>
    <n v="15"/>
    <n v="1"/>
    <n v="5"/>
    <n v="4"/>
    <n v="1"/>
    <n v="0"/>
  </r>
  <r>
    <s v="Yes"/>
    <s v="Travel_Rarely"/>
    <x v="0"/>
    <s v="Ex-Employees"/>
    <x v="1"/>
    <x v="2"/>
    <s v="STAFF-1809"/>
    <n v="1809"/>
    <x v="1"/>
    <x v="3"/>
    <x v="0"/>
    <s v="No"/>
    <s v="Y"/>
    <n v="4"/>
    <n v="-2"/>
    <n v="0"/>
    <n v="37"/>
    <n v="1"/>
    <n v="1"/>
    <n v="1"/>
    <n v="0"/>
    <n v="370"/>
    <n v="10"/>
    <x v="2"/>
    <n v="1"/>
    <n v="4"/>
    <n v="58"/>
    <n v="3"/>
    <n v="2"/>
    <n v="1"/>
    <n v="4213"/>
    <n v="4992"/>
    <n v="1"/>
    <n v="15"/>
    <n v="3"/>
    <n v="2"/>
    <n v="80"/>
    <n v="0"/>
    <n v="10"/>
    <n v="1"/>
    <n v="10"/>
    <n v="3"/>
    <n v="0"/>
    <n v="8"/>
  </r>
  <r>
    <s v="Yes"/>
    <s v="Travel_Rarely"/>
    <x v="2"/>
    <s v="Ex-Employees"/>
    <x v="1"/>
    <x v="0"/>
    <s v="STAFF-1692"/>
    <n v="1692"/>
    <x v="1"/>
    <x v="2"/>
    <x v="0"/>
    <s v="No"/>
    <s v="Y"/>
    <n v="2"/>
    <n v="-2"/>
    <n v="0"/>
    <n v="32"/>
    <n v="1"/>
    <n v="1"/>
    <n v="1"/>
    <n v="0"/>
    <n v="1259"/>
    <n v="2"/>
    <x v="2"/>
    <n v="1"/>
    <n v="4"/>
    <n v="95"/>
    <n v="3"/>
    <n v="1"/>
    <n v="2"/>
    <n v="1393"/>
    <n v="24852"/>
    <n v="1"/>
    <n v="12"/>
    <n v="3"/>
    <n v="1"/>
    <n v="80"/>
    <n v="0"/>
    <n v="1"/>
    <n v="3"/>
    <n v="1"/>
    <n v="0"/>
    <n v="0"/>
    <n v="0"/>
  </r>
  <r>
    <s v="Yes"/>
    <s v="Travel_Rarely"/>
    <x v="1"/>
    <s v="Ex-Employees"/>
    <x v="0"/>
    <x v="3"/>
    <s v="STAFF-1457"/>
    <n v="1457"/>
    <x v="1"/>
    <x v="0"/>
    <x v="2"/>
    <s v="No"/>
    <s v="Y"/>
    <n v="1"/>
    <n v="-2"/>
    <n v="0"/>
    <n v="46"/>
    <n v="1"/>
    <n v="1"/>
    <n v="1"/>
    <n v="0"/>
    <n v="377"/>
    <n v="9"/>
    <x v="3"/>
    <n v="1"/>
    <n v="1"/>
    <n v="52"/>
    <n v="3"/>
    <n v="3"/>
    <n v="1"/>
    <n v="10096"/>
    <n v="15986"/>
    <n v="4"/>
    <n v="11"/>
    <n v="3"/>
    <n v="1"/>
    <n v="80"/>
    <n v="1"/>
    <n v="28"/>
    <n v="4"/>
    <n v="7"/>
    <n v="7"/>
    <n v="4"/>
    <n v="3"/>
  </r>
  <r>
    <s v="Yes"/>
    <s v="Travel_Rarely"/>
    <x v="2"/>
    <s v="Ex-Employees"/>
    <x v="0"/>
    <x v="0"/>
    <s v="STAFF-1439"/>
    <n v="1439"/>
    <x v="1"/>
    <x v="6"/>
    <x v="1"/>
    <s v="No"/>
    <s v="Y"/>
    <n v="2"/>
    <n v="-2"/>
    <n v="0"/>
    <n v="25"/>
    <n v="1"/>
    <n v="1"/>
    <n v="1"/>
    <n v="0"/>
    <n v="383"/>
    <n v="9"/>
    <x v="0"/>
    <n v="1"/>
    <n v="1"/>
    <n v="68"/>
    <n v="2"/>
    <n v="1"/>
    <n v="1"/>
    <n v="4400"/>
    <n v="15182"/>
    <n v="3"/>
    <n v="12"/>
    <n v="3"/>
    <n v="1"/>
    <n v="80"/>
    <n v="0"/>
    <n v="6"/>
    <n v="3"/>
    <n v="3"/>
    <n v="2"/>
    <n v="2"/>
    <n v="2"/>
  </r>
  <r>
    <s v="Yes"/>
    <s v="Travel_Rarely"/>
    <x v="0"/>
    <s v="Ex-Employees"/>
    <x v="0"/>
    <x v="2"/>
    <s v="STAFF-1639"/>
    <n v="1639"/>
    <x v="1"/>
    <x v="0"/>
    <x v="1"/>
    <s v="No"/>
    <s v="Y"/>
    <n v="3"/>
    <n v="-2"/>
    <n v="0"/>
    <n v="35"/>
    <n v="1"/>
    <n v="1"/>
    <n v="1"/>
    <n v="0"/>
    <n v="737"/>
    <n v="10"/>
    <x v="3"/>
    <n v="1"/>
    <n v="4"/>
    <n v="55"/>
    <n v="2"/>
    <n v="3"/>
    <n v="1"/>
    <n v="10306"/>
    <n v="21530"/>
    <n v="9"/>
    <n v="17"/>
    <n v="3"/>
    <n v="3"/>
    <n v="80"/>
    <n v="0"/>
    <n v="15"/>
    <n v="3"/>
    <n v="13"/>
    <n v="12"/>
    <n v="6"/>
    <n v="0"/>
  </r>
  <r>
    <s v="Yes"/>
    <s v="Travel_Rarely"/>
    <x v="2"/>
    <s v="Ex-Employees"/>
    <x v="0"/>
    <x v="0"/>
    <s v="STAFF-1562"/>
    <n v="1562"/>
    <x v="1"/>
    <x v="0"/>
    <x v="1"/>
    <s v="No"/>
    <s v="Y"/>
    <n v="4"/>
    <n v="-2"/>
    <n v="0"/>
    <n v="30"/>
    <n v="1"/>
    <n v="1"/>
    <n v="1"/>
    <n v="0"/>
    <n v="740"/>
    <n v="1"/>
    <x v="3"/>
    <n v="1"/>
    <n v="2"/>
    <n v="64"/>
    <n v="2"/>
    <n v="2"/>
    <n v="1"/>
    <n v="9714"/>
    <n v="5323"/>
    <n v="1"/>
    <n v="11"/>
    <n v="3"/>
    <n v="4"/>
    <n v="80"/>
    <n v="1"/>
    <n v="10"/>
    <n v="3"/>
    <n v="10"/>
    <n v="8"/>
    <n v="6"/>
    <n v="7"/>
  </r>
  <r>
    <s v="Yes"/>
    <s v="Travel_Rarely"/>
    <x v="2"/>
    <s v="Ex-Employees"/>
    <x v="0"/>
    <x v="3"/>
    <s v="STAFF-1761"/>
    <n v="1761"/>
    <x v="1"/>
    <x v="0"/>
    <x v="1"/>
    <s v="No"/>
    <s v="Y"/>
    <n v="2"/>
    <n v="-2"/>
    <n v="0"/>
    <n v="31"/>
    <n v="1"/>
    <n v="1"/>
    <n v="1"/>
    <n v="0"/>
    <n v="1079"/>
    <n v="16"/>
    <x v="2"/>
    <n v="1"/>
    <n v="1"/>
    <n v="70"/>
    <n v="3"/>
    <n v="3"/>
    <n v="1"/>
    <n v="8161"/>
    <n v="19002"/>
    <n v="2"/>
    <n v="13"/>
    <n v="3"/>
    <n v="1"/>
    <n v="80"/>
    <n v="3"/>
    <n v="10"/>
    <n v="3"/>
    <n v="1"/>
    <n v="0"/>
    <n v="0"/>
    <n v="0"/>
  </r>
  <r>
    <s v="Yes"/>
    <s v="Travel_Rarely"/>
    <x v="2"/>
    <s v="Ex-Employees"/>
    <x v="0"/>
    <x v="0"/>
    <s v="STAFF-1734"/>
    <n v="1734"/>
    <x v="1"/>
    <x v="0"/>
    <x v="0"/>
    <s v="No"/>
    <s v="Y"/>
    <n v="2"/>
    <n v="-2"/>
    <n v="0"/>
    <n v="32"/>
    <n v="1"/>
    <n v="1"/>
    <n v="1"/>
    <n v="0"/>
    <n v="964"/>
    <n v="1"/>
    <x v="0"/>
    <n v="1"/>
    <n v="1"/>
    <n v="34"/>
    <n v="1"/>
    <n v="2"/>
    <n v="2"/>
    <n v="6735"/>
    <n v="12147"/>
    <n v="6"/>
    <n v="15"/>
    <n v="3"/>
    <n v="2"/>
    <n v="80"/>
    <n v="0"/>
    <n v="10"/>
    <n v="3"/>
    <n v="0"/>
    <n v="0"/>
    <n v="0"/>
    <n v="0"/>
  </r>
  <r>
    <s v="Yes"/>
    <s v="Travel_Rarely"/>
    <x v="4"/>
    <s v="Ex-Employees"/>
    <x v="0"/>
    <x v="3"/>
    <s v="STAFF-1780"/>
    <n v="1780"/>
    <x v="1"/>
    <x v="6"/>
    <x v="0"/>
    <s v="No"/>
    <s v="Y"/>
    <n v="3"/>
    <n v="-2"/>
    <n v="0"/>
    <n v="21"/>
    <n v="1"/>
    <n v="1"/>
    <n v="1"/>
    <n v="0"/>
    <n v="337"/>
    <n v="7"/>
    <x v="1"/>
    <n v="1"/>
    <n v="2"/>
    <n v="31"/>
    <n v="3"/>
    <n v="1"/>
    <n v="1"/>
    <n v="2679"/>
    <n v="4567"/>
    <n v="1"/>
    <n v="13"/>
    <n v="3"/>
    <n v="2"/>
    <n v="80"/>
    <n v="0"/>
    <n v="1"/>
    <n v="3"/>
    <n v="1"/>
    <n v="0"/>
    <n v="1"/>
    <n v="0"/>
  </r>
  <r>
    <s v="Yes"/>
    <s v="Travel_Rarely"/>
    <x v="2"/>
    <s v="Ex-Employees"/>
    <x v="0"/>
    <x v="2"/>
    <s v="STAFF-1876"/>
    <n v="1876"/>
    <x v="1"/>
    <x v="6"/>
    <x v="0"/>
    <s v="No"/>
    <s v="Y"/>
    <n v="3"/>
    <n v="-2"/>
    <n v="0"/>
    <n v="30"/>
    <n v="1"/>
    <n v="1"/>
    <n v="1"/>
    <n v="0"/>
    <n v="945"/>
    <n v="9"/>
    <x v="3"/>
    <n v="1"/>
    <n v="2"/>
    <n v="89"/>
    <n v="3"/>
    <n v="1"/>
    <n v="4"/>
    <n v="1081"/>
    <n v="16019"/>
    <n v="1"/>
    <n v="13"/>
    <n v="3"/>
    <n v="3"/>
    <n v="80"/>
    <n v="0"/>
    <n v="1"/>
    <n v="2"/>
    <n v="1"/>
    <n v="0"/>
    <n v="0"/>
    <n v="0"/>
  </r>
  <r>
    <s v="Yes"/>
    <s v="Travel_Frequently"/>
    <x v="2"/>
    <s v="Ex-Employees"/>
    <x v="1"/>
    <x v="0"/>
    <s v="STAFF-1939"/>
    <n v="1939"/>
    <x v="0"/>
    <x v="1"/>
    <x v="0"/>
    <s v="Yes"/>
    <s v="Y"/>
    <n v="2"/>
    <n v="-2"/>
    <n v="0"/>
    <n v="32"/>
    <n v="1"/>
    <n v="1"/>
    <n v="1"/>
    <n v="0"/>
    <n v="238"/>
    <n v="5"/>
    <x v="0"/>
    <n v="1"/>
    <n v="1"/>
    <n v="47"/>
    <n v="4"/>
    <n v="1"/>
    <n v="3"/>
    <n v="2432"/>
    <n v="15318"/>
    <n v="3"/>
    <n v="14"/>
    <n v="3"/>
    <n v="1"/>
    <n v="80"/>
    <n v="0"/>
    <n v="8"/>
    <n v="3"/>
    <n v="4"/>
    <n v="1"/>
    <n v="0"/>
    <n v="3"/>
  </r>
  <r>
    <s v="Yes"/>
    <s v="Travel_Frequently"/>
    <x v="2"/>
    <s v="Ex-Employees"/>
    <x v="1"/>
    <x v="1"/>
    <s v="STAFF-1421"/>
    <n v="1421"/>
    <x v="0"/>
    <x v="4"/>
    <x v="0"/>
    <s v="Yes"/>
    <s v="Y"/>
    <n v="1"/>
    <n v="-2"/>
    <n v="0"/>
    <n v="29"/>
    <n v="1"/>
    <n v="1"/>
    <n v="1"/>
    <n v="0"/>
    <n v="337"/>
    <n v="14"/>
    <x v="1"/>
    <n v="1"/>
    <n v="3"/>
    <n v="84"/>
    <n v="3"/>
    <n v="3"/>
    <n v="4"/>
    <n v="7553"/>
    <n v="22930"/>
    <n v="0"/>
    <n v="12"/>
    <n v="3"/>
    <n v="1"/>
    <n v="80"/>
    <n v="0"/>
    <n v="9"/>
    <n v="3"/>
    <n v="8"/>
    <n v="7"/>
    <n v="7"/>
    <n v="7"/>
  </r>
  <r>
    <s v="Yes"/>
    <s v="Travel_Frequently"/>
    <x v="1"/>
    <s v="Ex-Employees"/>
    <x v="0"/>
    <x v="2"/>
    <s v="STAFF-1691"/>
    <n v="1691"/>
    <x v="0"/>
    <x v="6"/>
    <x v="1"/>
    <s v="Yes"/>
    <s v="Y"/>
    <n v="3"/>
    <n v="-2"/>
    <n v="0"/>
    <n v="48"/>
    <n v="1"/>
    <n v="1"/>
    <n v="1"/>
    <n v="0"/>
    <n v="708"/>
    <n v="7"/>
    <x v="0"/>
    <n v="1"/>
    <n v="4"/>
    <n v="95"/>
    <n v="3"/>
    <n v="1"/>
    <n v="3"/>
    <n v="2655"/>
    <n v="11740"/>
    <n v="2"/>
    <n v="11"/>
    <n v="3"/>
    <n v="3"/>
    <n v="80"/>
    <n v="2"/>
    <n v="19"/>
    <n v="3"/>
    <n v="9"/>
    <n v="7"/>
    <n v="7"/>
    <n v="7"/>
  </r>
  <r>
    <s v="Yes"/>
    <s v="Travel_Frequently"/>
    <x v="4"/>
    <s v="Ex-Employees"/>
    <x v="0"/>
    <x v="2"/>
    <s v="STAFF-1624"/>
    <n v="1624"/>
    <x v="0"/>
    <x v="6"/>
    <x v="0"/>
    <s v="Yes"/>
    <s v="Y"/>
    <n v="2"/>
    <n v="-2"/>
    <n v="0"/>
    <n v="18"/>
    <n v="1"/>
    <n v="1"/>
    <n v="1"/>
    <n v="0"/>
    <n v="544"/>
    <n v="3"/>
    <x v="0"/>
    <n v="1"/>
    <n v="2"/>
    <n v="70"/>
    <n v="3"/>
    <n v="1"/>
    <n v="4"/>
    <n v="1569"/>
    <n v="18420"/>
    <n v="1"/>
    <n v="12"/>
    <n v="3"/>
    <n v="3"/>
    <n v="80"/>
    <n v="0"/>
    <n v="0"/>
    <n v="4"/>
    <n v="0"/>
    <n v="0"/>
    <n v="0"/>
    <n v="0"/>
  </r>
  <r>
    <s v="Yes"/>
    <s v="Travel_Rarely"/>
    <x v="2"/>
    <s v="Ex-Employees"/>
    <x v="2"/>
    <x v="2"/>
    <s v="STAFF-1818"/>
    <n v="1818"/>
    <x v="0"/>
    <x v="8"/>
    <x v="1"/>
    <s v="Yes"/>
    <s v="Y"/>
    <n v="3"/>
    <n v="-2"/>
    <n v="0"/>
    <n v="26"/>
    <n v="1"/>
    <n v="1"/>
    <n v="1"/>
    <n v="0"/>
    <n v="920"/>
    <n v="20"/>
    <x v="0"/>
    <n v="1"/>
    <n v="4"/>
    <n v="69"/>
    <n v="3"/>
    <n v="1"/>
    <n v="2"/>
    <n v="2148"/>
    <n v="6889"/>
    <n v="0"/>
    <n v="11"/>
    <n v="3"/>
    <n v="3"/>
    <n v="80"/>
    <n v="0"/>
    <n v="6"/>
    <n v="3"/>
    <n v="5"/>
    <n v="1"/>
    <n v="1"/>
    <n v="4"/>
  </r>
  <r>
    <s v="Yes"/>
    <s v="Travel_Rarely"/>
    <x v="0"/>
    <s v="Ex-Employees"/>
    <x v="1"/>
    <x v="0"/>
    <s v="STAFF-1569"/>
    <n v="1569"/>
    <x v="0"/>
    <x v="2"/>
    <x v="2"/>
    <s v="Yes"/>
    <s v="Y"/>
    <n v="2"/>
    <n v="-2"/>
    <n v="0"/>
    <n v="35"/>
    <n v="1"/>
    <n v="1"/>
    <n v="1"/>
    <n v="0"/>
    <n v="104"/>
    <n v="2"/>
    <x v="3"/>
    <n v="1"/>
    <n v="1"/>
    <n v="69"/>
    <n v="3"/>
    <n v="1"/>
    <n v="1"/>
    <n v="2074"/>
    <n v="26619"/>
    <n v="1"/>
    <n v="12"/>
    <n v="3"/>
    <n v="4"/>
    <n v="80"/>
    <n v="1"/>
    <n v="1"/>
    <n v="3"/>
    <n v="1"/>
    <n v="0"/>
    <n v="0"/>
    <n v="0"/>
  </r>
  <r>
    <s v="Yes"/>
    <s v="Travel_Rarely"/>
    <x v="4"/>
    <s v="Ex-Employees"/>
    <x v="1"/>
    <x v="2"/>
    <s v="STAFF-1783"/>
    <n v="1783"/>
    <x v="0"/>
    <x v="2"/>
    <x v="1"/>
    <s v="Yes"/>
    <s v="Y"/>
    <n v="6"/>
    <n v="-2"/>
    <n v="0"/>
    <n v="22"/>
    <n v="1"/>
    <n v="1"/>
    <n v="1"/>
    <n v="0"/>
    <n v="1294"/>
    <n v="8"/>
    <x v="1"/>
    <n v="1"/>
    <n v="3"/>
    <n v="79"/>
    <n v="3"/>
    <n v="1"/>
    <n v="1"/>
    <n v="2398"/>
    <n v="15999"/>
    <n v="1"/>
    <n v="17"/>
    <n v="3"/>
    <n v="3"/>
    <n v="80"/>
    <n v="0"/>
    <n v="1"/>
    <n v="3"/>
    <n v="1"/>
    <n v="0"/>
    <n v="0"/>
    <n v="0"/>
  </r>
  <r>
    <s v="Yes"/>
    <s v="Travel_Rarely"/>
    <x v="2"/>
    <s v="Ex-Employees"/>
    <x v="0"/>
    <x v="3"/>
    <s v="STAFF-1933"/>
    <n v="1933"/>
    <x v="0"/>
    <x v="0"/>
    <x v="0"/>
    <s v="Yes"/>
    <s v="Y"/>
    <n v="0"/>
    <n v="-2"/>
    <n v="0"/>
    <n v="28"/>
    <n v="1"/>
    <n v="1"/>
    <n v="1"/>
    <n v="0"/>
    <n v="1475"/>
    <n v="13"/>
    <x v="0"/>
    <n v="1"/>
    <n v="4"/>
    <n v="84"/>
    <n v="3"/>
    <n v="2"/>
    <n v="1"/>
    <n v="9854"/>
    <n v="23352"/>
    <n v="3"/>
    <n v="11"/>
    <n v="3"/>
    <n v="4"/>
    <n v="80"/>
    <n v="0"/>
    <n v="6"/>
    <n v="3"/>
    <n v="2"/>
    <n v="0"/>
    <n v="2"/>
    <n v="2"/>
  </r>
  <r>
    <s v="Yes"/>
    <s v="Travel_Frequently"/>
    <x v="0"/>
    <s v="Ex-Employees"/>
    <x v="1"/>
    <x v="2"/>
    <s v="STAFF-1792"/>
    <n v="1792"/>
    <x v="1"/>
    <x v="1"/>
    <x v="2"/>
    <s v="Yes"/>
    <s v="Y"/>
    <n v="2"/>
    <n v="-2"/>
    <n v="0"/>
    <n v="44"/>
    <n v="1"/>
    <n v="1"/>
    <n v="1"/>
    <n v="0"/>
    <n v="429"/>
    <n v="1"/>
    <x v="0"/>
    <n v="1"/>
    <n v="3"/>
    <n v="99"/>
    <n v="3"/>
    <n v="1"/>
    <n v="2"/>
    <n v="2342"/>
    <n v="11092"/>
    <n v="1"/>
    <n v="12"/>
    <n v="3"/>
    <n v="3"/>
    <n v="80"/>
    <n v="3"/>
    <n v="6"/>
    <n v="2"/>
    <n v="5"/>
    <n v="3"/>
    <n v="2"/>
    <n v="3"/>
  </r>
  <r>
    <s v="Yes"/>
    <s v="Travel_Frequently"/>
    <x v="2"/>
    <s v="Ex-Employees"/>
    <x v="1"/>
    <x v="0"/>
    <s v="STAFF-1464"/>
    <n v="1464"/>
    <x v="1"/>
    <x v="2"/>
    <x v="1"/>
    <s v="Yes"/>
    <s v="Y"/>
    <n v="2"/>
    <n v="-2"/>
    <n v="0"/>
    <n v="31"/>
    <n v="1"/>
    <n v="1"/>
    <n v="1"/>
    <n v="0"/>
    <n v="523"/>
    <n v="2"/>
    <x v="3"/>
    <n v="1"/>
    <n v="2"/>
    <n v="94"/>
    <n v="3"/>
    <n v="1"/>
    <n v="4"/>
    <n v="3722"/>
    <n v="21081"/>
    <n v="6"/>
    <n v="13"/>
    <n v="3"/>
    <n v="3"/>
    <n v="80"/>
    <n v="1"/>
    <n v="7"/>
    <n v="1"/>
    <n v="2"/>
    <n v="2"/>
    <n v="2"/>
    <n v="2"/>
  </r>
  <r>
    <s v="Yes"/>
    <s v="Travel_Frequently"/>
    <x v="0"/>
    <s v="Ex-Employees"/>
    <x v="1"/>
    <x v="4"/>
    <s v="STAFF-1767"/>
    <n v="1767"/>
    <x v="1"/>
    <x v="1"/>
    <x v="1"/>
    <s v="Yes"/>
    <s v="Y"/>
    <n v="4"/>
    <n v="-2"/>
    <n v="0"/>
    <n v="43"/>
    <n v="1"/>
    <n v="1"/>
    <n v="1"/>
    <n v="0"/>
    <n v="807"/>
    <n v="17"/>
    <x v="3"/>
    <n v="1"/>
    <n v="3"/>
    <n v="38"/>
    <n v="2"/>
    <n v="1"/>
    <n v="3"/>
    <n v="2437"/>
    <n v="15587"/>
    <n v="9"/>
    <n v="16"/>
    <n v="3"/>
    <n v="4"/>
    <n v="80"/>
    <n v="1"/>
    <n v="6"/>
    <n v="3"/>
    <n v="1"/>
    <n v="0"/>
    <n v="0"/>
    <n v="0"/>
  </r>
  <r>
    <s v="Yes"/>
    <s v="Travel_Frequently"/>
    <x v="4"/>
    <s v="Ex-Employees"/>
    <x v="1"/>
    <x v="2"/>
    <s v="STAFF-1494"/>
    <n v="1494"/>
    <x v="1"/>
    <x v="2"/>
    <x v="0"/>
    <s v="Yes"/>
    <s v="Y"/>
    <n v="2"/>
    <n v="-2"/>
    <n v="0"/>
    <n v="24"/>
    <n v="1"/>
    <n v="1"/>
    <n v="1"/>
    <n v="0"/>
    <n v="381"/>
    <n v="9"/>
    <x v="3"/>
    <n v="1"/>
    <n v="2"/>
    <n v="89"/>
    <n v="3"/>
    <n v="1"/>
    <n v="1"/>
    <n v="3172"/>
    <n v="16998"/>
    <n v="2"/>
    <n v="11"/>
    <n v="3"/>
    <n v="3"/>
    <n v="80"/>
    <n v="0"/>
    <n v="4"/>
    <n v="2"/>
    <n v="0"/>
    <n v="0"/>
    <n v="0"/>
    <n v="0"/>
  </r>
  <r>
    <s v="Yes"/>
    <s v="Travel_Frequently"/>
    <x v="2"/>
    <s v="Ex-Employees"/>
    <x v="0"/>
    <x v="3"/>
    <s v="STAFF-1967"/>
    <n v="1967"/>
    <x v="1"/>
    <x v="0"/>
    <x v="1"/>
    <s v="Yes"/>
    <s v="Y"/>
    <n v="4"/>
    <n v="-2"/>
    <n v="0"/>
    <n v="31"/>
    <n v="1"/>
    <n v="1"/>
    <n v="1"/>
    <n v="0"/>
    <n v="754"/>
    <n v="26"/>
    <x v="2"/>
    <n v="1"/>
    <n v="1"/>
    <n v="63"/>
    <n v="3"/>
    <n v="2"/>
    <n v="1"/>
    <n v="5617"/>
    <n v="21075"/>
    <n v="1"/>
    <n v="11"/>
    <n v="3"/>
    <n v="3"/>
    <n v="80"/>
    <n v="0"/>
    <n v="10"/>
    <n v="3"/>
    <n v="10"/>
    <n v="7"/>
    <n v="0"/>
    <n v="8"/>
  </r>
  <r>
    <s v="Yes"/>
    <s v="Travel_Rarely"/>
    <x v="2"/>
    <s v="Ex-Employees"/>
    <x v="2"/>
    <x v="5"/>
    <s v="STAFF-1844"/>
    <n v="1844"/>
    <x v="1"/>
    <x v="8"/>
    <x v="2"/>
    <s v="Yes"/>
    <s v="Y"/>
    <n v="3"/>
    <n v="-2"/>
    <n v="0"/>
    <n v="29"/>
    <n v="1"/>
    <n v="1"/>
    <n v="1"/>
    <n v="0"/>
    <n v="350"/>
    <n v="13"/>
    <x v="3"/>
    <n v="1"/>
    <n v="1"/>
    <n v="56"/>
    <n v="2"/>
    <n v="1"/>
    <n v="1"/>
    <n v="2335"/>
    <n v="3157"/>
    <n v="4"/>
    <n v="15"/>
    <n v="3"/>
    <n v="4"/>
    <n v="80"/>
    <n v="3"/>
    <n v="4"/>
    <n v="3"/>
    <n v="2"/>
    <n v="2"/>
    <n v="2"/>
    <n v="0"/>
  </r>
  <r>
    <s v="Yes"/>
    <s v="Travel_Rarely"/>
    <x v="2"/>
    <s v="Ex-Employees"/>
    <x v="1"/>
    <x v="2"/>
    <s v="STAFF-2027"/>
    <n v="2027"/>
    <x v="1"/>
    <x v="1"/>
    <x v="1"/>
    <s v="Yes"/>
    <s v="Y"/>
    <n v="3"/>
    <n v="-2"/>
    <n v="0"/>
    <n v="29"/>
    <n v="1"/>
    <n v="1"/>
    <n v="1"/>
    <n v="0"/>
    <n v="1092"/>
    <n v="1"/>
    <x v="2"/>
    <n v="1"/>
    <n v="1"/>
    <n v="36"/>
    <n v="3"/>
    <n v="1"/>
    <n v="4"/>
    <n v="4787"/>
    <n v="26124"/>
    <n v="9"/>
    <n v="14"/>
    <n v="3"/>
    <n v="2"/>
    <n v="80"/>
    <n v="3"/>
    <n v="4"/>
    <n v="4"/>
    <n v="2"/>
    <n v="2"/>
    <n v="2"/>
    <n v="2"/>
  </r>
  <r>
    <s v="Yes"/>
    <s v="Travel_Rarely"/>
    <x v="2"/>
    <s v="Ex-Employees"/>
    <x v="1"/>
    <x v="2"/>
    <s v="STAFF-1604"/>
    <n v="1604"/>
    <x v="1"/>
    <x v="2"/>
    <x v="1"/>
    <s v="Yes"/>
    <s v="Y"/>
    <n v="3"/>
    <n v="-2"/>
    <n v="0"/>
    <n v="28"/>
    <n v="1"/>
    <n v="1"/>
    <n v="1"/>
    <n v="0"/>
    <n v="329"/>
    <n v="24"/>
    <x v="3"/>
    <n v="1"/>
    <n v="3"/>
    <n v="51"/>
    <n v="3"/>
    <n v="1"/>
    <n v="2"/>
    <n v="2408"/>
    <n v="7324"/>
    <n v="1"/>
    <n v="17"/>
    <n v="3"/>
    <n v="3"/>
    <n v="80"/>
    <n v="3"/>
    <n v="1"/>
    <n v="3"/>
    <n v="1"/>
    <n v="1"/>
    <n v="0"/>
    <n v="0"/>
  </r>
  <r>
    <s v="Yes"/>
    <s v="Travel_Rarely"/>
    <x v="0"/>
    <s v="Ex-Employees"/>
    <x v="1"/>
    <x v="0"/>
    <s v="STAFF-1649"/>
    <n v="1649"/>
    <x v="1"/>
    <x v="2"/>
    <x v="0"/>
    <s v="Yes"/>
    <s v="Y"/>
    <n v="3"/>
    <n v="-2"/>
    <n v="0"/>
    <n v="40"/>
    <n v="1"/>
    <n v="1"/>
    <n v="1"/>
    <n v="0"/>
    <n v="1329"/>
    <n v="7"/>
    <x v="3"/>
    <n v="1"/>
    <n v="1"/>
    <n v="73"/>
    <n v="3"/>
    <n v="1"/>
    <n v="1"/>
    <n v="2166"/>
    <n v="3339"/>
    <n v="3"/>
    <n v="14"/>
    <n v="3"/>
    <n v="2"/>
    <n v="80"/>
    <n v="0"/>
    <n v="10"/>
    <n v="1"/>
    <n v="4"/>
    <n v="2"/>
    <n v="0"/>
    <n v="3"/>
  </r>
  <r>
    <s v="Yes"/>
    <s v="Travel_Rarely"/>
    <x v="4"/>
    <s v="Ex-Employees"/>
    <x v="1"/>
    <x v="2"/>
    <s v="STAFF-1684"/>
    <n v="1684"/>
    <x v="1"/>
    <x v="2"/>
    <x v="0"/>
    <s v="Yes"/>
    <s v="Y"/>
    <n v="2"/>
    <n v="-2"/>
    <n v="0"/>
    <n v="23"/>
    <n v="1"/>
    <n v="1"/>
    <n v="1"/>
    <n v="0"/>
    <n v="1320"/>
    <n v="8"/>
    <x v="1"/>
    <n v="1"/>
    <n v="4"/>
    <n v="93"/>
    <n v="2"/>
    <n v="1"/>
    <n v="3"/>
    <n v="3989"/>
    <n v="20586"/>
    <n v="1"/>
    <n v="11"/>
    <n v="3"/>
    <n v="1"/>
    <n v="80"/>
    <n v="0"/>
    <n v="5"/>
    <n v="3"/>
    <n v="5"/>
    <n v="4"/>
    <n v="1"/>
    <n v="2"/>
  </r>
  <r>
    <s v="Yes"/>
    <s v="Travel_Rarely"/>
    <x v="1"/>
    <s v="Ex-Employees"/>
    <x v="0"/>
    <x v="3"/>
    <s v="STAFF-2055"/>
    <n v="2055"/>
    <x v="1"/>
    <x v="0"/>
    <x v="2"/>
    <s v="Yes"/>
    <s v="Y"/>
    <n v="3"/>
    <n v="-2"/>
    <n v="0"/>
    <n v="50"/>
    <n v="1"/>
    <n v="1"/>
    <n v="1"/>
    <n v="0"/>
    <n v="410"/>
    <n v="28"/>
    <x v="3"/>
    <n v="1"/>
    <n v="4"/>
    <n v="39"/>
    <n v="2"/>
    <n v="3"/>
    <n v="1"/>
    <n v="10854"/>
    <n v="16586"/>
    <n v="4"/>
    <n v="13"/>
    <n v="3"/>
    <n v="2"/>
    <n v="80"/>
    <n v="1"/>
    <n v="20"/>
    <n v="3"/>
    <n v="3"/>
    <n v="2"/>
    <n v="2"/>
    <n v="0"/>
  </r>
  <r>
    <s v="Yes"/>
    <s v="Travel_Rarely"/>
    <x v="0"/>
    <s v="Ex-Employees"/>
    <x v="0"/>
    <x v="2"/>
    <s v="STAFF-1645"/>
    <n v="1645"/>
    <x v="1"/>
    <x v="0"/>
    <x v="2"/>
    <s v="Yes"/>
    <s v="Y"/>
    <n v="2"/>
    <n v="-2"/>
    <n v="0"/>
    <n v="35"/>
    <n v="1"/>
    <n v="1"/>
    <n v="1"/>
    <n v="0"/>
    <n v="763"/>
    <n v="15"/>
    <x v="0"/>
    <n v="1"/>
    <n v="1"/>
    <n v="59"/>
    <n v="1"/>
    <n v="2"/>
    <n v="4"/>
    <n v="5440"/>
    <n v="22098"/>
    <n v="6"/>
    <n v="14"/>
    <n v="3"/>
    <n v="4"/>
    <n v="80"/>
    <n v="2"/>
    <n v="7"/>
    <n v="2"/>
    <n v="2"/>
    <n v="2"/>
    <n v="2"/>
    <n v="2"/>
  </r>
  <r>
    <s v="Yes"/>
    <s v="Travel_Rarely"/>
    <x v="0"/>
    <s v="Ex-Employees"/>
    <x v="0"/>
    <x v="3"/>
    <s v="STAFF-1733"/>
    <n v="1733"/>
    <x v="1"/>
    <x v="0"/>
    <x v="2"/>
    <s v="Yes"/>
    <s v="Y"/>
    <n v="3"/>
    <n v="-2"/>
    <n v="0"/>
    <n v="36"/>
    <n v="1"/>
    <n v="1"/>
    <n v="1"/>
    <n v="0"/>
    <n v="1456"/>
    <n v="13"/>
    <x v="4"/>
    <n v="1"/>
    <n v="2"/>
    <n v="96"/>
    <n v="2"/>
    <n v="2"/>
    <n v="1"/>
    <n v="6134"/>
    <n v="8658"/>
    <n v="5"/>
    <n v="13"/>
    <n v="3"/>
    <n v="2"/>
    <n v="80"/>
    <n v="3"/>
    <n v="16"/>
    <n v="3"/>
    <n v="2"/>
    <n v="2"/>
    <n v="2"/>
    <n v="2"/>
  </r>
  <r>
    <s v="Yes"/>
    <s v="Travel_Rarely"/>
    <x v="1"/>
    <s v="Ex-Employees"/>
    <x v="0"/>
    <x v="0"/>
    <s v="STAFF-1968"/>
    <n v="1968"/>
    <x v="1"/>
    <x v="0"/>
    <x v="0"/>
    <s v="Yes"/>
    <s v="Y"/>
    <n v="2"/>
    <n v="-2"/>
    <n v="0"/>
    <n v="53"/>
    <n v="1"/>
    <n v="1"/>
    <n v="1"/>
    <n v="0"/>
    <n v="1168"/>
    <n v="24"/>
    <x v="2"/>
    <n v="1"/>
    <n v="1"/>
    <n v="66"/>
    <n v="3"/>
    <n v="3"/>
    <n v="1"/>
    <n v="10448"/>
    <n v="5843"/>
    <n v="6"/>
    <n v="13"/>
    <n v="3"/>
    <n v="2"/>
    <n v="80"/>
    <n v="0"/>
    <n v="15"/>
    <n v="2"/>
    <n v="2"/>
    <n v="2"/>
    <n v="2"/>
    <n v="2"/>
  </r>
  <r>
    <s v="Yes"/>
    <s v="Travel_Rarely"/>
    <x v="2"/>
    <s v="Ex-Employees"/>
    <x v="0"/>
    <x v="3"/>
    <s v="STAFF-1862"/>
    <n v="1862"/>
    <x v="1"/>
    <x v="0"/>
    <x v="0"/>
    <s v="Yes"/>
    <s v="Y"/>
    <n v="3"/>
    <n v="-2"/>
    <n v="0"/>
    <n v="32"/>
    <n v="1"/>
    <n v="1"/>
    <n v="1"/>
    <n v="0"/>
    <n v="414"/>
    <n v="2"/>
    <x v="2"/>
    <n v="1"/>
    <n v="3"/>
    <n v="82"/>
    <n v="2"/>
    <n v="2"/>
    <n v="2"/>
    <n v="9907"/>
    <n v="26186"/>
    <n v="7"/>
    <n v="12"/>
    <n v="3"/>
    <n v="3"/>
    <n v="80"/>
    <n v="0"/>
    <n v="7"/>
    <n v="2"/>
    <n v="2"/>
    <n v="2"/>
    <n v="2"/>
    <n v="2"/>
  </r>
  <r>
    <s v="Yes"/>
    <s v="Travel_Rarely"/>
    <x v="0"/>
    <s v="Ex-Employees"/>
    <x v="0"/>
    <x v="0"/>
    <s v="STAFF-1797"/>
    <n v="1797"/>
    <x v="1"/>
    <x v="0"/>
    <x v="0"/>
    <s v="Yes"/>
    <s v="Y"/>
    <n v="2"/>
    <n v="-2"/>
    <n v="0"/>
    <n v="35"/>
    <n v="1"/>
    <n v="1"/>
    <n v="1"/>
    <n v="0"/>
    <n v="303"/>
    <n v="27"/>
    <x v="3"/>
    <n v="1"/>
    <n v="3"/>
    <n v="84"/>
    <n v="3"/>
    <n v="2"/>
    <n v="4"/>
    <n v="5813"/>
    <n v="13492"/>
    <n v="1"/>
    <n v="18"/>
    <n v="3"/>
    <n v="4"/>
    <n v="80"/>
    <n v="0"/>
    <n v="10"/>
    <n v="3"/>
    <n v="10"/>
    <n v="7"/>
    <n v="7"/>
    <n v="7"/>
  </r>
  <r>
    <s v="Yes"/>
    <s v="Travel_Rarely"/>
    <x v="1"/>
    <s v="Ex-Employees"/>
    <x v="1"/>
    <x v="2"/>
    <s v="STAFF-1821"/>
    <n v="1821"/>
    <x v="0"/>
    <x v="4"/>
    <x v="1"/>
    <s v="No"/>
    <s v="Y"/>
    <n v="2"/>
    <n v="-2"/>
    <n v="0"/>
    <n v="46"/>
    <n v="1"/>
    <n v="1"/>
    <n v="1"/>
    <n v="0"/>
    <n v="261"/>
    <n v="21"/>
    <x v="0"/>
    <n v="1"/>
    <n v="4"/>
    <n v="66"/>
    <n v="3"/>
    <n v="2"/>
    <n v="2"/>
    <n v="8926"/>
    <n v="10842"/>
    <n v="4"/>
    <n v="22"/>
    <n v="4"/>
    <n v="4"/>
    <n v="80"/>
    <n v="1"/>
    <n v="13"/>
    <n v="4"/>
    <n v="9"/>
    <n v="7"/>
    <n v="3"/>
    <n v="7"/>
  </r>
  <r>
    <s v="Yes"/>
    <s v="Travel_Rarely"/>
    <x v="1"/>
    <s v="Ex-Employees"/>
    <x v="0"/>
    <x v="0"/>
    <s v="STAFF-1869"/>
    <n v="1869"/>
    <x v="0"/>
    <x v="0"/>
    <x v="1"/>
    <s v="No"/>
    <s v="Y"/>
    <n v="2"/>
    <n v="-2"/>
    <n v="0"/>
    <n v="46"/>
    <n v="1"/>
    <n v="1"/>
    <n v="1"/>
    <n v="0"/>
    <n v="1254"/>
    <n v="10"/>
    <x v="3"/>
    <n v="1"/>
    <n v="3"/>
    <n v="64"/>
    <n v="3"/>
    <n v="3"/>
    <n v="2"/>
    <n v="7314"/>
    <n v="14011"/>
    <n v="5"/>
    <n v="21"/>
    <n v="4"/>
    <n v="3"/>
    <n v="80"/>
    <n v="3"/>
    <n v="14"/>
    <n v="3"/>
    <n v="8"/>
    <n v="7"/>
    <n v="0"/>
    <n v="7"/>
  </r>
  <r>
    <s v="Yes"/>
    <s v="Travel_Frequently"/>
    <x v="1"/>
    <s v="Ex-Employees"/>
    <x v="1"/>
    <x v="0"/>
    <s v="STAFF-1420"/>
    <n v="1420"/>
    <x v="1"/>
    <x v="2"/>
    <x v="0"/>
    <s v="No"/>
    <s v="Y"/>
    <n v="2"/>
    <n v="-2"/>
    <n v="0"/>
    <n v="49"/>
    <n v="1"/>
    <n v="1"/>
    <n v="1"/>
    <n v="0"/>
    <n v="1475"/>
    <n v="28"/>
    <x v="0"/>
    <n v="1"/>
    <n v="1"/>
    <n v="97"/>
    <n v="2"/>
    <n v="2"/>
    <n v="1"/>
    <n v="4284"/>
    <n v="22710"/>
    <n v="3"/>
    <n v="20"/>
    <n v="4"/>
    <n v="1"/>
    <n v="80"/>
    <n v="0"/>
    <n v="20"/>
    <n v="3"/>
    <n v="4"/>
    <n v="3"/>
    <n v="1"/>
    <n v="3"/>
  </r>
  <r>
    <s v="Yes"/>
    <s v="Non-Travel"/>
    <x v="0"/>
    <s v="Ex-Employees"/>
    <x v="1"/>
    <x v="0"/>
    <s v="STAFF-1458"/>
    <n v="1458"/>
    <x v="0"/>
    <x v="2"/>
    <x v="0"/>
    <s v="Yes"/>
    <s v="Y"/>
    <n v="2"/>
    <n v="-2"/>
    <n v="0"/>
    <n v="39"/>
    <n v="1"/>
    <n v="1"/>
    <n v="1"/>
    <n v="0"/>
    <n v="592"/>
    <n v="2"/>
    <x v="3"/>
    <n v="1"/>
    <n v="1"/>
    <n v="54"/>
    <n v="2"/>
    <n v="1"/>
    <n v="1"/>
    <n v="3646"/>
    <n v="17181"/>
    <n v="2"/>
    <n v="23"/>
    <n v="4"/>
    <n v="2"/>
    <n v="80"/>
    <n v="0"/>
    <n v="11"/>
    <n v="4"/>
    <n v="1"/>
    <n v="0"/>
    <n v="0"/>
    <n v="0"/>
  </r>
  <r>
    <s v="Yes"/>
    <s v="Travel_Rarely"/>
    <x v="2"/>
    <s v="Ex-Employees"/>
    <x v="0"/>
    <x v="2"/>
    <s v="STAFF-1489"/>
    <n v="1489"/>
    <x v="0"/>
    <x v="0"/>
    <x v="0"/>
    <s v="Yes"/>
    <s v="Y"/>
    <n v="2"/>
    <n v="-2"/>
    <n v="0"/>
    <n v="34"/>
    <n v="1"/>
    <n v="1"/>
    <n v="1"/>
    <n v="0"/>
    <n v="790"/>
    <n v="24"/>
    <x v="2"/>
    <n v="1"/>
    <n v="1"/>
    <n v="40"/>
    <n v="2"/>
    <n v="2"/>
    <n v="2"/>
    <n v="4599"/>
    <n v="7815"/>
    <n v="0"/>
    <n v="23"/>
    <n v="4"/>
    <n v="3"/>
    <n v="80"/>
    <n v="0"/>
    <n v="16"/>
    <n v="4"/>
    <n v="15"/>
    <n v="9"/>
    <n v="10"/>
    <n v="10"/>
  </r>
  <r>
    <s v="Yes"/>
    <s v="Travel_Rarely"/>
    <x v="2"/>
    <s v="Ex-Employees"/>
    <x v="0"/>
    <x v="0"/>
    <s v="STAFF-1758"/>
    <n v="1758"/>
    <x v="0"/>
    <x v="0"/>
    <x v="0"/>
    <s v="Yes"/>
    <s v="Y"/>
    <n v="2"/>
    <n v="-2"/>
    <n v="0"/>
    <n v="33"/>
    <n v="1"/>
    <n v="1"/>
    <n v="1"/>
    <n v="0"/>
    <n v="211"/>
    <n v="16"/>
    <x v="3"/>
    <n v="1"/>
    <n v="1"/>
    <n v="74"/>
    <n v="3"/>
    <n v="3"/>
    <n v="1"/>
    <n v="8564"/>
    <n v="10092"/>
    <n v="2"/>
    <n v="20"/>
    <n v="4"/>
    <n v="3"/>
    <n v="80"/>
    <n v="0"/>
    <n v="11"/>
    <n v="2"/>
    <n v="0"/>
    <n v="0"/>
    <n v="0"/>
    <n v="0"/>
  </r>
  <r>
    <s v="Yes"/>
    <s v="Non-Travel"/>
    <x v="2"/>
    <s v="Ex-Employees"/>
    <x v="1"/>
    <x v="4"/>
    <s v="STAFF-1905"/>
    <n v="1905"/>
    <x v="1"/>
    <x v="1"/>
    <x v="1"/>
    <s v="Yes"/>
    <s v="Y"/>
    <n v="2"/>
    <n v="-2"/>
    <n v="0"/>
    <n v="34"/>
    <n v="1"/>
    <n v="1"/>
    <n v="1"/>
    <n v="0"/>
    <n v="967"/>
    <n v="16"/>
    <x v="2"/>
    <n v="1"/>
    <n v="4"/>
    <n v="85"/>
    <n v="1"/>
    <n v="1"/>
    <n v="1"/>
    <n v="2307"/>
    <n v="14460"/>
    <n v="1"/>
    <n v="23"/>
    <n v="4"/>
    <n v="2"/>
    <n v="80"/>
    <n v="1"/>
    <n v="5"/>
    <n v="3"/>
    <n v="5"/>
    <n v="2"/>
    <n v="3"/>
    <n v="0"/>
  </r>
  <r>
    <s v="Yes"/>
    <s v="Travel_Frequently"/>
    <x v="2"/>
    <s v="Ex-Employees"/>
    <x v="1"/>
    <x v="0"/>
    <s v="STAFF-1868"/>
    <n v="1868"/>
    <x v="1"/>
    <x v="1"/>
    <x v="0"/>
    <s v="Yes"/>
    <s v="Y"/>
    <n v="3"/>
    <n v="-2"/>
    <n v="0"/>
    <n v="29"/>
    <n v="1"/>
    <n v="1"/>
    <n v="1"/>
    <n v="0"/>
    <n v="459"/>
    <n v="24"/>
    <x v="0"/>
    <n v="1"/>
    <n v="4"/>
    <n v="73"/>
    <n v="2"/>
    <n v="1"/>
    <n v="4"/>
    <n v="2439"/>
    <n v="14753"/>
    <n v="1"/>
    <n v="24"/>
    <n v="4"/>
    <n v="2"/>
    <n v="80"/>
    <n v="0"/>
    <n v="1"/>
    <n v="2"/>
    <n v="1"/>
    <n v="0"/>
    <n v="1"/>
    <n v="0"/>
  </r>
  <r>
    <s v="Yes"/>
    <s v="Travel_Frequently"/>
    <x v="0"/>
    <s v="Ex-Employees"/>
    <x v="0"/>
    <x v="1"/>
    <s v="STAFF-1667"/>
    <n v="1667"/>
    <x v="1"/>
    <x v="0"/>
    <x v="0"/>
    <s v="Yes"/>
    <s v="Y"/>
    <n v="2"/>
    <n v="-2"/>
    <n v="0"/>
    <n v="35"/>
    <n v="1"/>
    <n v="1"/>
    <n v="1"/>
    <n v="0"/>
    <n v="880"/>
    <n v="12"/>
    <x v="2"/>
    <n v="1"/>
    <n v="4"/>
    <n v="36"/>
    <n v="3"/>
    <n v="2"/>
    <n v="4"/>
    <n v="4581"/>
    <n v="10414"/>
    <n v="3"/>
    <n v="24"/>
    <n v="4"/>
    <n v="1"/>
    <n v="80"/>
    <n v="0"/>
    <n v="13"/>
    <n v="4"/>
    <n v="11"/>
    <n v="9"/>
    <n v="6"/>
    <n v="7"/>
  </r>
  <r>
    <s v="Yes"/>
    <s v="Travel_Rarely"/>
    <x v="4"/>
    <s v="Ex-Employees"/>
    <x v="1"/>
    <x v="0"/>
    <s v="STAFF-1878"/>
    <n v="1878"/>
    <x v="1"/>
    <x v="1"/>
    <x v="0"/>
    <s v="Yes"/>
    <s v="Y"/>
    <n v="2"/>
    <n v="-2"/>
    <n v="0"/>
    <n v="22"/>
    <n v="1"/>
    <n v="1"/>
    <n v="1"/>
    <n v="0"/>
    <n v="391"/>
    <n v="7"/>
    <x v="1"/>
    <n v="1"/>
    <n v="4"/>
    <n v="75"/>
    <n v="3"/>
    <n v="1"/>
    <n v="2"/>
    <n v="2472"/>
    <n v="26092"/>
    <n v="1"/>
    <n v="23"/>
    <n v="4"/>
    <n v="1"/>
    <n v="80"/>
    <n v="0"/>
    <n v="1"/>
    <n v="3"/>
    <n v="1"/>
    <n v="0"/>
    <n v="0"/>
    <n v="0"/>
  </r>
  <r>
    <s v="Yes"/>
    <s v="Travel_Rarely"/>
    <x v="4"/>
    <s v="Ex-Employees"/>
    <x v="0"/>
    <x v="0"/>
    <s v="STAFF-1702"/>
    <n v="1702"/>
    <x v="1"/>
    <x v="6"/>
    <x v="2"/>
    <s v="Yes"/>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775EF-06DB-412A-91E6-3AA57F70373A}" name="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 fld="17" baseField="0" baseItem="0"/>
    <dataField name="Average of Age" fld="16" subtotal="average" baseField="0" baseItem="1"/>
  </dataFields>
  <formats count="3">
    <format dxfId="3">
      <pivotArea type="all" dataOnly="0" outline="0" fieldPosition="0"/>
    </format>
    <format dxfId="2">
      <pivotArea outline="0" collapsedLevelsAreSubtotals="1" fieldPosition="0"/>
    </format>
    <format dxfId="1">
      <pivotArea dataOnly="0" labelOnly="1" outline="0" fieldPosition="0">
        <references count="1">
          <reference field="4294967294" count="3">
            <x v="0"/>
            <x v="1"/>
            <x v="2"/>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5540B3-435F-4090-A66F-FA88CE1DFF2D}" name="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0">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111E4E2-34A1-40F7-BCD3-8580D1D5E783}" name="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Count" fld="24" subtotal="count" baseField="8"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CD097F-3A0A-402D-916E-1C351C2D12DB}" name="Education by Attri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E44809-B29B-4362-B6BB-0134AFBA5BB6}" name="Attrition by Job"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1042B3-E494-489C-8760-3406B1BA3388}" name="Department wise attri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C3976B-4ADE-4D44-8410-E91A69750270}" name="Attrition by Age Grou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E29BCC4-0B20-4DBC-997B-3567F1EE456B}" name="Marital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4">
    <pivotField dataField="1"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17C8DC9D-5DF6-49FF-9C98-7021B5C7A274}" sourceName="Gender">
  <pivotTables>
    <pivotTable tabId="13" name="Gender"/>
    <pivotTable tabId="17" name="Attrition by Age Group"/>
    <pivotTable tabId="15" name="Attrition by Job"/>
    <pivotTable tabId="16" name="Department wise attrition"/>
    <pivotTable tabId="14" name="Education by Attrition"/>
    <pivotTable tabId="7" name="KPI"/>
    <pivotTable tabId="18" name="Marital Status"/>
    <pivotTable tabId="12" name="Rating"/>
  </pivotTables>
  <data>
    <tabular pivotCacheId="17974457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C7499D69-DE79-4FA2-BAEC-B497993B6F42}" sourceName="Department">
  <pivotTables>
    <pivotTable tabId="17" name="Attrition by Age Group"/>
    <pivotTable tabId="15" name="Attrition by Job"/>
    <pivotTable tabId="16" name="Department wise attrition"/>
    <pivotTable tabId="14" name="Education by Attrition"/>
    <pivotTable tabId="13" name="Gender"/>
    <pivotTable tabId="7" name="KPI"/>
    <pivotTable tabId="18" name="Marital Status"/>
    <pivotTable tabId="12" name="Rating"/>
  </pivotTables>
  <data>
    <tabular pivotCacheId="179744574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2" xr10:uid="{B55B92A2-D95A-4333-BAF1-0E58505535AA}" sourceName="Education Field">
  <pivotTables>
    <pivotTable tabId="17" name="Attrition by Age Group"/>
    <pivotTable tabId="15" name="Attrition by Job"/>
    <pivotTable tabId="16" name="Department wise attrition"/>
    <pivotTable tabId="14" name="Education by Attrition"/>
    <pivotTable tabId="13" name="Gender"/>
    <pivotTable tabId="7" name="KPI"/>
    <pivotTable tabId="18" name="Marital Status"/>
    <pivotTable tabId="12" name="Rating"/>
  </pivotTables>
  <data>
    <tabular pivotCacheId="1797445747">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CD736B56-1432-4D53-B1AB-205BC19122C0}" cache="Slicer_Gender2" caption="Gender"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B624ABE2-6D05-4DFC-AE81-4409B1E6F8A7}" cache="Slicer_Gender2" caption="Gender" rowHeight="260350"/>
  <slicer name="Education Field" xr10:uid="{C3BAB8C9-90C3-4537-8C54-0E292F88B2F0}" cache="Slicer_Education_Field2" caption="Education Field" rowHeight="2603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2B825D65-96C7-479C-9827-B981E34B518F}" cache="Slicer_Gender2" caption="Gender" rowHeight="260350"/>
  <slicer name="Education Field 1" xr10:uid="{9E256827-DC79-46F1-BECF-EAAA9BB01395}" cache="Slicer_Education_Field2" caption="Education Field" rowHeight="2603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90FF96D-D658-456F-A244-F42AE8A74448}" cache="Slicer_Department" caption="Department" rowHeight="260350"/>
  <slicer name="Education Field 2" xr10:uid="{F58F0B85-0E00-4D9E-8C9E-336109337837}" cache="Slicer_Education_Field2" caption="Education Field" rowHeight="2603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87C8CAF0-6E4F-49C0-B809-FBA44D80F9AF}" cache="Slicer_Gender2" caption="Gender" columnCount="2" style="s" rowHeight="260350"/>
  <slicer name="Department 1" xr10:uid="{00053CF7-C8B7-443F-AA9C-FBCB21104790}" cache="Slicer_Department" style="s" rowHeight="260350"/>
  <slicer name="Education Field 3" xr10:uid="{3FC67F61-1E69-43DC-8E2E-0C5FA0298A27}" cache="Slicer_Education_Field2" style="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R1471">
  <tableColumns count="44">
    <tableColumn id="1" xr3:uid="{00000000-0010-0000-0000-000001000000}" name="Attrition"/>
    <tableColumn id="2" xr3:uid="{00000000-0010-0000-0000-000002000000}" name="Business Travel"/>
    <tableColumn id="3" xr3:uid="{00000000-0010-0000-0000-000003000000}" name="CF_age band"/>
    <tableColumn id="4" xr3:uid="{00000000-0010-0000-0000-000004000000}" name="CF_attrition label"/>
    <tableColumn id="5" xr3:uid="{00000000-0010-0000-0000-000005000000}" name="Department"/>
    <tableColumn id="6" xr3:uid="{00000000-0010-0000-0000-000006000000}" name="Education Field"/>
    <tableColumn id="7" xr3:uid="{00000000-0010-0000-0000-000007000000}" name="emp no"/>
    <tableColumn id="8" xr3:uid="{00000000-0010-0000-0000-000008000000}" name="Employee Number"/>
    <tableColumn id="9" xr3:uid="{00000000-0010-0000-0000-000009000000}" name="Gender"/>
    <tableColumn id="10" xr3:uid="{00000000-0010-0000-0000-00000A000000}" name="Job Role"/>
    <tableColumn id="11" xr3:uid="{00000000-0010-0000-0000-00000B000000}" name="Marital Status"/>
    <tableColumn id="12" xr3:uid="{00000000-0010-0000-0000-00000C000000}" name="Over Time"/>
    <tableColumn id="13" xr3:uid="{00000000-0010-0000-0000-00000D000000}" name="Over18"/>
    <tableColumn id="14" xr3:uid="{00000000-0010-0000-0000-00000E000000}" name="Training Times Last Year"/>
    <tableColumn id="15" xr3:uid="{00000000-0010-0000-0000-00000F000000}" name="-2"/>
    <tableColumn id="16" xr3:uid="{00000000-0010-0000-0000-000010000000}" name="0"/>
    <tableColumn id="17" xr3:uid="{00000000-0010-0000-0000-000011000000}" name="Age"/>
    <tableColumn id="18" xr3:uid="{00000000-0010-0000-0000-000012000000}" name="CF_attrition count"/>
    <tableColumn id="19" xr3:uid="{00000000-0010-0000-0000-000013000000}" name="CF_attrition counts"/>
    <tableColumn id="20" xr3:uid="{00000000-0010-0000-0000-000014000000}" name="CF_attrition rate"/>
    <tableColumn id="21" xr3:uid="{00000000-0010-0000-0000-000015000000}" name="CF_current Employee"/>
    <tableColumn id="22" xr3:uid="{00000000-0010-0000-0000-000016000000}" name="Daily Rate"/>
    <tableColumn id="23" xr3:uid="{00000000-0010-0000-0000-000017000000}" name="Distance From Home"/>
    <tableColumn id="24" xr3:uid="{00000000-0010-0000-0000-000018000000}" name="Education"/>
    <tableColumn id="25" xr3:uid="{00000000-0010-0000-0000-000019000000}" name="Employee Count"/>
    <tableColumn id="26" xr3:uid="{00000000-0010-0000-0000-00001A000000}" name="Environment Satisfaction"/>
    <tableColumn id="27" xr3:uid="{00000000-0010-0000-0000-00001B000000}" name="Hourly Rate"/>
    <tableColumn id="28" xr3:uid="{00000000-0010-0000-0000-00001C000000}" name="Job Involvement"/>
    <tableColumn id="29" xr3:uid="{00000000-0010-0000-0000-00001D000000}" name="Job Level"/>
    <tableColumn id="30" xr3:uid="{00000000-0010-0000-0000-00001E000000}" name="Job Satisfaction"/>
    <tableColumn id="31" xr3:uid="{00000000-0010-0000-0000-00001F000000}" name="Monthly Income"/>
    <tableColumn id="32" xr3:uid="{00000000-0010-0000-0000-000020000000}" name="Monthly Rate"/>
    <tableColumn id="33" xr3:uid="{00000000-0010-0000-0000-000021000000}" name="Num Companies Worked"/>
    <tableColumn id="34" xr3:uid="{00000000-0010-0000-0000-000022000000}" name="Percent Salary Hike"/>
    <tableColumn id="35" xr3:uid="{00000000-0010-0000-0000-000023000000}" name="Performance Rating"/>
    <tableColumn id="36" xr3:uid="{00000000-0010-0000-0000-000024000000}" name="Relationship Satisfaction"/>
    <tableColumn id="37" xr3:uid="{00000000-0010-0000-0000-000025000000}" name="Standard Hours"/>
    <tableColumn id="38" xr3:uid="{00000000-0010-0000-0000-000026000000}" name="Stock Option Level"/>
    <tableColumn id="39" xr3:uid="{00000000-0010-0000-0000-000027000000}" name="Total Working Years"/>
    <tableColumn id="40" xr3:uid="{00000000-0010-0000-0000-000028000000}" name="Work Life Balance"/>
    <tableColumn id="41" xr3:uid="{00000000-0010-0000-0000-000029000000}" name="Years At Company"/>
    <tableColumn id="42" xr3:uid="{00000000-0010-0000-0000-00002A000000}" name="Years In Current Role"/>
    <tableColumn id="43" xr3:uid="{00000000-0010-0000-0000-00002B000000}" name="Years Since Last Promotion"/>
    <tableColumn id="44" xr3:uid="{00000000-0010-0000-0000-00002C000000}" name="Years With Curr Manager"/>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D88F-7EF6-42F6-B541-7AC926E811D7}">
  <dimension ref="A1:M14"/>
  <sheetViews>
    <sheetView workbookViewId="0">
      <selection activeCell="B19" sqref="B19"/>
    </sheetView>
  </sheetViews>
  <sheetFormatPr defaultRowHeight="15.6" x14ac:dyDescent="0.3"/>
  <cols>
    <col min="1" max="1" width="24.5" bestFit="1" customWidth="1"/>
    <col min="2" max="2" width="22.796875" bestFit="1" customWidth="1"/>
    <col min="3" max="3" width="13.5" bestFit="1" customWidth="1"/>
    <col min="4" max="4" width="16.8984375" customWidth="1"/>
    <col min="5" max="5" width="12.69921875" customWidth="1"/>
  </cols>
  <sheetData>
    <row r="1" spans="1:13" ht="16.2" thickBot="1" x14ac:dyDescent="0.35"/>
    <row r="2" spans="1:13" x14ac:dyDescent="0.3">
      <c r="A2" s="20"/>
      <c r="B2" s="21"/>
      <c r="C2" s="21"/>
      <c r="D2" s="21"/>
      <c r="E2" s="21"/>
      <c r="F2" s="21"/>
      <c r="G2" s="21"/>
      <c r="H2" s="21"/>
      <c r="I2" s="21"/>
      <c r="J2" s="21"/>
      <c r="K2" s="21"/>
      <c r="L2" s="21"/>
      <c r="M2" s="22"/>
    </row>
    <row r="3" spans="1:13" x14ac:dyDescent="0.3">
      <c r="A3" s="23" t="s">
        <v>1554</v>
      </c>
      <c r="B3" s="3" t="s">
        <v>1555</v>
      </c>
      <c r="C3" s="2" t="s">
        <v>1556</v>
      </c>
      <c r="M3" s="24"/>
    </row>
    <row r="4" spans="1:13" x14ac:dyDescent="0.3">
      <c r="A4" s="25">
        <v>1470</v>
      </c>
      <c r="B4" s="18">
        <v>237</v>
      </c>
      <c r="C4" s="19">
        <v>36.923809523809524</v>
      </c>
      <c r="M4" s="24"/>
    </row>
    <row r="5" spans="1:13" x14ac:dyDescent="0.3">
      <c r="A5" s="26"/>
      <c r="M5" s="24"/>
    </row>
    <row r="6" spans="1:13" x14ac:dyDescent="0.3">
      <c r="A6" s="26"/>
      <c r="M6" s="24"/>
    </row>
    <row r="7" spans="1:13" x14ac:dyDescent="0.3">
      <c r="A7" s="26" t="s">
        <v>1557</v>
      </c>
      <c r="B7" t="s">
        <v>1558</v>
      </c>
      <c r="C7" t="s">
        <v>1559</v>
      </c>
      <c r="D7" t="s">
        <v>1560</v>
      </c>
      <c r="E7" t="s">
        <v>1561</v>
      </c>
      <c r="M7" s="24"/>
    </row>
    <row r="8" spans="1:13" x14ac:dyDescent="0.3">
      <c r="A8" s="26">
        <f>GETPIVOTDATA("Count of Employee Number",$A$3)</f>
        <v>1470</v>
      </c>
      <c r="B8">
        <f>GETPIVOTDATA("Sum of CF_attrition count",$A$3)</f>
        <v>237</v>
      </c>
      <c r="C8" s="27">
        <f>GETPIVOTDATA("Average of Age",$A$3)</f>
        <v>36.923809523809524</v>
      </c>
      <c r="D8">
        <f>A8-B8</f>
        <v>1233</v>
      </c>
      <c r="E8" s="28">
        <f>B8/A8</f>
        <v>0.16122448979591836</v>
      </c>
      <c r="M8" s="24"/>
    </row>
    <row r="9" spans="1:13" x14ac:dyDescent="0.3">
      <c r="A9" s="26"/>
      <c r="M9" s="24"/>
    </row>
    <row r="10" spans="1:13" x14ac:dyDescent="0.3">
      <c r="A10" s="26"/>
      <c r="M10" s="24"/>
    </row>
    <row r="11" spans="1:13" x14ac:dyDescent="0.3">
      <c r="A11" s="26"/>
      <c r="M11" s="24"/>
    </row>
    <row r="12" spans="1:13" x14ac:dyDescent="0.3">
      <c r="A12" s="26"/>
      <c r="M12" s="24"/>
    </row>
    <row r="13" spans="1:13" x14ac:dyDescent="0.3">
      <c r="A13" s="26"/>
      <c r="M13" s="24"/>
    </row>
    <row r="14" spans="1:13" ht="16.2" thickBot="1" x14ac:dyDescent="0.35">
      <c r="A14" s="29"/>
      <c r="B14" s="30"/>
      <c r="C14" s="30"/>
      <c r="D14" s="30"/>
      <c r="E14" s="30"/>
      <c r="F14" s="30"/>
      <c r="G14" s="30"/>
      <c r="H14" s="30"/>
      <c r="I14" s="30"/>
      <c r="J14" s="30"/>
      <c r="K14" s="30"/>
      <c r="L14" s="30"/>
      <c r="M14" s="3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FB0DA-C876-435E-BA74-3925AD220F57}">
  <dimension ref="A3:C7"/>
  <sheetViews>
    <sheetView workbookViewId="0">
      <selection activeCell="I14" sqref="I14"/>
    </sheetView>
  </sheetViews>
  <sheetFormatPr defaultRowHeight="15.6" x14ac:dyDescent="0.3"/>
  <cols>
    <col min="1" max="1" width="23.59765625" bestFit="1" customWidth="1"/>
  </cols>
  <sheetData>
    <row r="3" spans="1:3" x14ac:dyDescent="0.3">
      <c r="A3" s="5" t="s">
        <v>1562</v>
      </c>
    </row>
    <row r="4" spans="1:3" x14ac:dyDescent="0.3">
      <c r="A4" s="6">
        <v>2.6265306122448981</v>
      </c>
    </row>
    <row r="6" spans="1:3" x14ac:dyDescent="0.3">
      <c r="A6" t="s">
        <v>1563</v>
      </c>
      <c r="B6" s="7">
        <f>GETPIVOTDATA("Job Satisfaction",$A$3)</f>
        <v>2.6265306122448981</v>
      </c>
      <c r="C6">
        <f>B6/4</f>
        <v>0.65663265306122454</v>
      </c>
    </row>
    <row r="7" spans="1:3" x14ac:dyDescent="0.3">
      <c r="A7" t="s">
        <v>1564</v>
      </c>
      <c r="B7" s="7">
        <f>4-B6</f>
        <v>1.3734693877551019</v>
      </c>
      <c r="C7">
        <f>B7/4</f>
        <v>0.34336734693877546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341F6-AC09-42C2-AE28-AF4690857812}">
  <dimension ref="A3:C12"/>
  <sheetViews>
    <sheetView workbookViewId="0">
      <selection activeCell="C11" sqref="C11:C12"/>
    </sheetView>
  </sheetViews>
  <sheetFormatPr defaultRowHeight="15.6" x14ac:dyDescent="0.3"/>
  <cols>
    <col min="1" max="1" width="12.19921875" bestFit="1" customWidth="1"/>
    <col min="2" max="2" width="22.796875" bestFit="1" customWidth="1"/>
  </cols>
  <sheetData>
    <row r="3" spans="1:3" x14ac:dyDescent="0.3">
      <c r="A3" s="8" t="s">
        <v>1565</v>
      </c>
      <c r="B3" s="5" t="s">
        <v>1567</v>
      </c>
    </row>
    <row r="4" spans="1:3" x14ac:dyDescent="0.3">
      <c r="A4" s="9" t="s">
        <v>51</v>
      </c>
      <c r="B4" s="5">
        <v>588</v>
      </c>
    </row>
    <row r="5" spans="1:3" x14ac:dyDescent="0.3">
      <c r="A5" s="10" t="s">
        <v>62</v>
      </c>
      <c r="B5" s="16">
        <v>882</v>
      </c>
    </row>
    <row r="6" spans="1:3" x14ac:dyDescent="0.3">
      <c r="A6" s="11" t="s">
        <v>1566</v>
      </c>
      <c r="B6" s="17">
        <v>1470</v>
      </c>
    </row>
    <row r="11" spans="1:3" x14ac:dyDescent="0.3">
      <c r="A11" t="s">
        <v>51</v>
      </c>
      <c r="B11">
        <f>IFERROR(GETPIVOTDATA("Employee Count",$A$3,"Gender","Female"),0)</f>
        <v>588</v>
      </c>
      <c r="C11" s="12">
        <f>IFERROR(B11/($B$11+$B$12),0)</f>
        <v>0.4</v>
      </c>
    </row>
    <row r="12" spans="1:3" x14ac:dyDescent="0.3">
      <c r="A12" t="s">
        <v>62</v>
      </c>
      <c r="B12">
        <f>IFERROR(GETPIVOTDATA("Employee Count",$A$3,"Gender","Male"),0)</f>
        <v>882</v>
      </c>
      <c r="C12" s="12">
        <f>IFERROR(B12/($B$11+$B$12),0)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08D69-A9DC-4DC6-86FE-0C0E06D73964}">
  <dimension ref="A3:B9"/>
  <sheetViews>
    <sheetView workbookViewId="0">
      <selection activeCell="H22" sqref="H22"/>
    </sheetView>
  </sheetViews>
  <sheetFormatPr defaultRowHeight="15.6" x14ac:dyDescent="0.3"/>
  <cols>
    <col min="1" max="1" width="16" bestFit="1" customWidth="1"/>
    <col min="2" max="2" width="22.796875" bestFit="1" customWidth="1"/>
  </cols>
  <sheetData>
    <row r="3" spans="1:2" x14ac:dyDescent="0.3">
      <c r="A3" s="8" t="s">
        <v>1565</v>
      </c>
      <c r="B3" s="5" t="s">
        <v>1555</v>
      </c>
    </row>
    <row r="4" spans="1:2" x14ac:dyDescent="0.3">
      <c r="A4" s="9" t="s">
        <v>134</v>
      </c>
      <c r="B4" s="5">
        <v>5</v>
      </c>
    </row>
    <row r="5" spans="1:2" x14ac:dyDescent="0.3">
      <c r="A5" s="10" t="s">
        <v>65</v>
      </c>
      <c r="B5" s="16">
        <v>31</v>
      </c>
    </row>
    <row r="6" spans="1:2" x14ac:dyDescent="0.3">
      <c r="A6" s="10" t="s">
        <v>55</v>
      </c>
      <c r="B6" s="16">
        <v>44</v>
      </c>
    </row>
    <row r="7" spans="1:2" x14ac:dyDescent="0.3">
      <c r="A7" s="10" t="s">
        <v>71</v>
      </c>
      <c r="B7" s="16">
        <v>58</v>
      </c>
    </row>
    <row r="8" spans="1:2" x14ac:dyDescent="0.3">
      <c r="A8" s="10" t="s">
        <v>77</v>
      </c>
      <c r="B8" s="16">
        <v>99</v>
      </c>
    </row>
    <row r="9" spans="1:2" x14ac:dyDescent="0.3">
      <c r="A9" s="11" t="s">
        <v>1566</v>
      </c>
      <c r="B9" s="17">
        <v>237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9EFC2-7241-4286-9AA2-040847303B14}">
  <dimension ref="A3:E13"/>
  <sheetViews>
    <sheetView workbookViewId="0">
      <selection activeCell="D4" sqref="D4:E12"/>
    </sheetView>
  </sheetViews>
  <sheetFormatPr defaultRowHeight="15.6" x14ac:dyDescent="0.3"/>
  <cols>
    <col min="1" max="1" width="23.296875" bestFit="1" customWidth="1"/>
    <col min="2" max="2" width="22.796875" bestFit="1" customWidth="1"/>
    <col min="4" max="4" width="23.59765625" customWidth="1"/>
  </cols>
  <sheetData>
    <row r="3" spans="1:5" x14ac:dyDescent="0.3">
      <c r="A3" s="8" t="s">
        <v>1565</v>
      </c>
      <c r="B3" s="5" t="s">
        <v>1555</v>
      </c>
      <c r="D3" t="s">
        <v>1568</v>
      </c>
      <c r="E3" t="s">
        <v>1569</v>
      </c>
    </row>
    <row r="4" spans="1:5" x14ac:dyDescent="0.3">
      <c r="A4" s="9" t="s">
        <v>83</v>
      </c>
      <c r="B4" s="5">
        <v>9</v>
      </c>
      <c r="D4" t="str">
        <f>A4</f>
        <v>Healthcare Representative</v>
      </c>
      <c r="E4">
        <f>GETPIVOTDATA("CF_attrition count",$A$3,"Job Role",A4)</f>
        <v>9</v>
      </c>
    </row>
    <row r="5" spans="1:5" x14ac:dyDescent="0.3">
      <c r="A5" s="10" t="s">
        <v>163</v>
      </c>
      <c r="B5" s="16">
        <v>12</v>
      </c>
      <c r="D5" t="str">
        <f t="shared" ref="D5:D12" si="0">A5</f>
        <v>Human Resources</v>
      </c>
      <c r="E5">
        <f t="shared" ref="E5:E12" si="1">GETPIVOTDATA("CF_attrition count",$A$3,"Job Role",A5)</f>
        <v>12</v>
      </c>
    </row>
    <row r="6" spans="1:5" x14ac:dyDescent="0.3">
      <c r="A6" s="10" t="s">
        <v>68</v>
      </c>
      <c r="B6" s="16">
        <v>62</v>
      </c>
      <c r="D6" t="str">
        <f t="shared" si="0"/>
        <v>Laboratory Technician</v>
      </c>
      <c r="E6">
        <f t="shared" si="1"/>
        <v>62</v>
      </c>
    </row>
    <row r="7" spans="1:5" x14ac:dyDescent="0.3">
      <c r="A7" s="10" t="s">
        <v>95</v>
      </c>
      <c r="B7" s="16">
        <v>5</v>
      </c>
      <c r="D7" t="str">
        <f t="shared" si="0"/>
        <v>Manager</v>
      </c>
      <c r="E7">
        <f t="shared" si="1"/>
        <v>5</v>
      </c>
    </row>
    <row r="8" spans="1:5" x14ac:dyDescent="0.3">
      <c r="A8" s="10" t="s">
        <v>81</v>
      </c>
      <c r="B8" s="16">
        <v>10</v>
      </c>
      <c r="D8" t="str">
        <f t="shared" si="0"/>
        <v>Manufacturing Director</v>
      </c>
      <c r="E8">
        <f t="shared" si="1"/>
        <v>10</v>
      </c>
    </row>
    <row r="9" spans="1:5" x14ac:dyDescent="0.3">
      <c r="A9" s="10" t="s">
        <v>101</v>
      </c>
      <c r="B9" s="16">
        <v>2</v>
      </c>
      <c r="D9" t="str">
        <f t="shared" si="0"/>
        <v>Research Director</v>
      </c>
      <c r="E9">
        <f t="shared" si="1"/>
        <v>2</v>
      </c>
    </row>
    <row r="10" spans="1:5" x14ac:dyDescent="0.3">
      <c r="A10" s="10" t="s">
        <v>63</v>
      </c>
      <c r="B10" s="16">
        <v>47</v>
      </c>
      <c r="D10" t="str">
        <f t="shared" si="0"/>
        <v>Research Scientist</v>
      </c>
      <c r="E10">
        <f t="shared" si="1"/>
        <v>47</v>
      </c>
    </row>
    <row r="11" spans="1:5" x14ac:dyDescent="0.3">
      <c r="A11" s="10" t="s">
        <v>52</v>
      </c>
      <c r="B11" s="16">
        <v>57</v>
      </c>
      <c r="D11" t="str">
        <f t="shared" si="0"/>
        <v>Sales Executive</v>
      </c>
      <c r="E11">
        <f t="shared" si="1"/>
        <v>57</v>
      </c>
    </row>
    <row r="12" spans="1:5" x14ac:dyDescent="0.3">
      <c r="A12" s="10" t="s">
        <v>99</v>
      </c>
      <c r="B12" s="16">
        <v>33</v>
      </c>
      <c r="D12" t="str">
        <f t="shared" si="0"/>
        <v>Sales Representative</v>
      </c>
      <c r="E12">
        <f t="shared" si="1"/>
        <v>33</v>
      </c>
    </row>
    <row r="13" spans="1:5" x14ac:dyDescent="0.3">
      <c r="A13" s="11" t="s">
        <v>1566</v>
      </c>
      <c r="B13" s="17">
        <v>237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50C6-2EAA-4BCF-9A17-ED429C21EA7E}">
  <dimension ref="A3:B7"/>
  <sheetViews>
    <sheetView workbookViewId="0">
      <selection activeCell="B5" sqref="B5"/>
    </sheetView>
  </sheetViews>
  <sheetFormatPr defaultRowHeight="15.6" x14ac:dyDescent="0.3"/>
  <cols>
    <col min="1" max="1" width="12.19921875" bestFit="1" customWidth="1"/>
    <col min="2" max="2" width="22.796875" bestFit="1" customWidth="1"/>
  </cols>
  <sheetData>
    <row r="3" spans="1:2" x14ac:dyDescent="0.3">
      <c r="A3" s="8" t="s">
        <v>1565</v>
      </c>
      <c r="B3" s="5" t="s">
        <v>1555</v>
      </c>
    </row>
    <row r="4" spans="1:2" x14ac:dyDescent="0.3">
      <c r="A4" s="9" t="s">
        <v>161</v>
      </c>
      <c r="B4" s="13">
        <v>5.0632911392405063E-2</v>
      </c>
    </row>
    <row r="5" spans="1:2" x14ac:dyDescent="0.3">
      <c r="A5" s="10" t="s">
        <v>60</v>
      </c>
      <c r="B5" s="14">
        <v>0.56118143459915615</v>
      </c>
    </row>
    <row r="6" spans="1:2" x14ac:dyDescent="0.3">
      <c r="A6" s="10" t="s">
        <v>48</v>
      </c>
      <c r="B6" s="14">
        <v>0.3881856540084388</v>
      </c>
    </row>
    <row r="7" spans="1:2" x14ac:dyDescent="0.3">
      <c r="A7" s="11" t="s">
        <v>1566</v>
      </c>
      <c r="B7" s="15">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EAFC-79B4-4692-BC4A-5D41E3D8B664}">
  <dimension ref="A3:B9"/>
  <sheetViews>
    <sheetView workbookViewId="0">
      <selection activeCell="K20" sqref="K20"/>
    </sheetView>
  </sheetViews>
  <sheetFormatPr defaultRowHeight="15.6" x14ac:dyDescent="0.3"/>
  <cols>
    <col min="1" max="1" width="12.19921875" bestFit="1" customWidth="1"/>
    <col min="2" max="2" width="22.796875" bestFit="1" customWidth="1"/>
  </cols>
  <sheetData>
    <row r="3" spans="1:2" x14ac:dyDescent="0.3">
      <c r="A3" s="8" t="s">
        <v>1565</v>
      </c>
      <c r="B3" s="5" t="s">
        <v>1555</v>
      </c>
    </row>
    <row r="4" spans="1:2" x14ac:dyDescent="0.3">
      <c r="A4" s="9" t="s">
        <v>69</v>
      </c>
      <c r="B4" s="5">
        <v>112</v>
      </c>
    </row>
    <row r="5" spans="1:2" x14ac:dyDescent="0.3">
      <c r="A5" s="10" t="s">
        <v>46</v>
      </c>
      <c r="B5" s="16">
        <v>51</v>
      </c>
    </row>
    <row r="6" spans="1:2" x14ac:dyDescent="0.3">
      <c r="A6" s="10" t="s">
        <v>92</v>
      </c>
      <c r="B6" s="16">
        <v>38</v>
      </c>
    </row>
    <row r="7" spans="1:2" x14ac:dyDescent="0.3">
      <c r="A7" s="10" t="s">
        <v>58</v>
      </c>
      <c r="B7" s="16">
        <v>25</v>
      </c>
    </row>
    <row r="8" spans="1:2" x14ac:dyDescent="0.3">
      <c r="A8" s="10" t="s">
        <v>75</v>
      </c>
      <c r="B8" s="16">
        <v>11</v>
      </c>
    </row>
    <row r="9" spans="1:2" x14ac:dyDescent="0.3">
      <c r="A9" s="11" t="s">
        <v>1566</v>
      </c>
      <c r="B9" s="17">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D49BF-956F-4C51-A4A1-280EB6AEC096}">
  <dimension ref="A3:E7"/>
  <sheetViews>
    <sheetView workbookViewId="0">
      <selection activeCell="B5" sqref="B5"/>
    </sheetView>
  </sheetViews>
  <sheetFormatPr defaultRowHeight="15.6" x14ac:dyDescent="0.3"/>
  <cols>
    <col min="1" max="1" width="12.19921875" bestFit="1" customWidth="1"/>
    <col min="2" max="2" width="16" bestFit="1" customWidth="1"/>
    <col min="4" max="4" width="12.69921875" customWidth="1"/>
  </cols>
  <sheetData>
    <row r="3" spans="1:5" x14ac:dyDescent="0.3">
      <c r="A3" s="8" t="s">
        <v>1565</v>
      </c>
      <c r="B3" s="5" t="s">
        <v>1570</v>
      </c>
      <c r="D3" t="s">
        <v>10</v>
      </c>
      <c r="E3" t="s">
        <v>0</v>
      </c>
    </row>
    <row r="4" spans="1:5" x14ac:dyDescent="0.3">
      <c r="A4" s="9" t="s">
        <v>79</v>
      </c>
      <c r="B4" s="5">
        <v>327</v>
      </c>
      <c r="D4" t="str">
        <f>A4</f>
        <v>Divorced</v>
      </c>
      <c r="E4">
        <f>GETPIVOTDATA("Attrition",$A$3,"Marital Status",A4)</f>
        <v>327</v>
      </c>
    </row>
    <row r="5" spans="1:5" x14ac:dyDescent="0.3">
      <c r="A5" s="10" t="s">
        <v>53</v>
      </c>
      <c r="B5" s="16">
        <v>470</v>
      </c>
      <c r="D5" t="str">
        <f>A5</f>
        <v>Single</v>
      </c>
      <c r="E5">
        <f>GETPIVOTDATA("Attrition",$A$3,"Marital Status",A5)</f>
        <v>470</v>
      </c>
    </row>
    <row r="6" spans="1:5" x14ac:dyDescent="0.3">
      <c r="A6" s="10" t="s">
        <v>64</v>
      </c>
      <c r="B6" s="16">
        <v>673</v>
      </c>
      <c r="D6" t="str">
        <f>A6</f>
        <v>Married</v>
      </c>
      <c r="E6">
        <f>GETPIVOTDATA("Attrition",$A$3,"Marital Status",A6)</f>
        <v>673</v>
      </c>
    </row>
    <row r="7" spans="1:5" x14ac:dyDescent="0.3">
      <c r="A7" s="11" t="s">
        <v>1566</v>
      </c>
      <c r="B7" s="17">
        <v>1470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471"/>
  <sheetViews>
    <sheetView topLeftCell="A2" workbookViewId="0">
      <selection activeCell="E7" sqref="E7"/>
    </sheetView>
  </sheetViews>
  <sheetFormatPr defaultColWidth="11.19921875" defaultRowHeight="15" customHeight="1" x14ac:dyDescent="0.3"/>
  <cols>
    <col min="1" max="1" width="9.796875" customWidth="1"/>
    <col min="2" max="2" width="15.3984375" customWidth="1"/>
    <col min="3" max="3" width="13.296875" customWidth="1"/>
    <col min="4" max="4" width="17.59765625" customWidth="1"/>
    <col min="5" max="5" width="12.796875" customWidth="1"/>
    <col min="6" max="6" width="15.3984375" customWidth="1"/>
    <col min="7" max="7" width="9" customWidth="1"/>
    <col min="8" max="8" width="18.09765625" customWidth="1"/>
    <col min="9" max="9" width="8.59765625" customWidth="1"/>
    <col min="10" max="10" width="23.296875" customWidth="1"/>
    <col min="11" max="11" width="14.3984375" customWidth="1"/>
    <col min="12" max="12" width="11.19921875" customWidth="1"/>
    <col min="13" max="13" width="8.59765625" customWidth="1"/>
    <col min="14" max="14" width="22.796875" customWidth="1"/>
    <col min="15" max="17" width="8.59765625" customWidth="1"/>
    <col min="18" max="18" width="17.8984375" customWidth="1"/>
    <col min="19" max="19" width="18.69921875" customWidth="1"/>
    <col min="20" max="20" width="16.3984375" customWidth="1"/>
    <col min="21" max="21" width="20.3984375" customWidth="1"/>
    <col min="22" max="22" width="11.09765625" customWidth="1"/>
    <col min="23" max="23" width="20.09765625" customWidth="1"/>
    <col min="24" max="24" width="16" customWidth="1"/>
    <col min="25" max="25" width="16.3984375" customWidth="1"/>
    <col min="26" max="26" width="23.59765625" customWidth="1"/>
    <col min="27" max="27" width="12.3984375" customWidth="1"/>
    <col min="28" max="28" width="16.3984375" customWidth="1"/>
    <col min="29" max="29" width="10.19921875" customWidth="1"/>
    <col min="30" max="30" width="15.69921875" customWidth="1"/>
    <col min="31" max="31" width="16.296875" customWidth="1"/>
    <col min="32" max="32" width="14" customWidth="1"/>
    <col min="33" max="33" width="23.59765625" customWidth="1"/>
    <col min="34" max="34" width="18.796875" customWidth="1"/>
    <col min="35" max="35" width="19.09765625" customWidth="1"/>
    <col min="36" max="36" width="23.296875" customWidth="1"/>
    <col min="37" max="37" width="15.69921875" customWidth="1"/>
    <col min="38" max="38" width="18.19921875" customWidth="1"/>
    <col min="39" max="39" width="19.3984375" customWidth="1"/>
    <col min="40" max="40" width="17.59765625" customWidth="1"/>
    <col min="41" max="41" width="17.8984375" customWidth="1"/>
    <col min="42" max="42" width="20.296875" customWidth="1"/>
    <col min="43" max="43" width="25.19921875" customWidth="1"/>
    <col min="44" max="44" width="23.69921875" customWidth="1"/>
  </cols>
  <sheetData>
    <row r="1" spans="1:44"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3">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x14ac:dyDescent="0.3">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x14ac:dyDescent="0.3">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x14ac:dyDescent="0.3">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x14ac:dyDescent="0.3">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x14ac:dyDescent="0.3">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x14ac:dyDescent="0.3">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x14ac:dyDescent="0.3">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x14ac:dyDescent="0.3">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x14ac:dyDescent="0.3">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x14ac:dyDescent="0.3">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x14ac:dyDescent="0.3">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x14ac:dyDescent="0.3">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x14ac:dyDescent="0.3">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x14ac:dyDescent="0.3">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x14ac:dyDescent="0.3">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x14ac:dyDescent="0.3">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x14ac:dyDescent="0.3">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x14ac:dyDescent="0.3">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x14ac:dyDescent="0.3">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x14ac:dyDescent="0.3">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x14ac:dyDescent="0.3">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x14ac:dyDescent="0.3">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x14ac:dyDescent="0.3">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x14ac:dyDescent="0.3">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x14ac:dyDescent="0.3">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x14ac:dyDescent="0.3">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x14ac:dyDescent="0.3">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x14ac:dyDescent="0.3">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x14ac:dyDescent="0.3">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x14ac:dyDescent="0.3">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x14ac:dyDescent="0.3">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x14ac:dyDescent="0.3">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x14ac:dyDescent="0.3">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x14ac:dyDescent="0.3">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x14ac:dyDescent="0.3">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x14ac:dyDescent="0.3">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x14ac:dyDescent="0.3">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x14ac:dyDescent="0.3">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x14ac:dyDescent="0.3">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x14ac:dyDescent="0.3">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x14ac:dyDescent="0.3">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x14ac:dyDescent="0.3">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x14ac:dyDescent="0.3">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x14ac:dyDescent="0.3">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x14ac:dyDescent="0.3">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x14ac:dyDescent="0.3">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x14ac:dyDescent="0.3">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x14ac:dyDescent="0.3">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x14ac:dyDescent="0.3">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x14ac:dyDescent="0.3">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x14ac:dyDescent="0.3">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x14ac:dyDescent="0.3">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x14ac:dyDescent="0.3">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x14ac:dyDescent="0.3">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x14ac:dyDescent="0.3">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x14ac:dyDescent="0.3">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x14ac:dyDescent="0.3">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x14ac:dyDescent="0.3">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x14ac:dyDescent="0.3">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x14ac:dyDescent="0.3">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x14ac:dyDescent="0.3">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x14ac:dyDescent="0.3">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x14ac:dyDescent="0.3">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x14ac:dyDescent="0.3">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x14ac:dyDescent="0.3">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x14ac:dyDescent="0.3">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x14ac:dyDescent="0.3">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x14ac:dyDescent="0.3">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x14ac:dyDescent="0.3">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x14ac:dyDescent="0.3">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x14ac:dyDescent="0.3">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x14ac:dyDescent="0.3">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x14ac:dyDescent="0.3">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x14ac:dyDescent="0.3">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x14ac:dyDescent="0.3">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x14ac:dyDescent="0.3">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x14ac:dyDescent="0.3">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x14ac:dyDescent="0.3">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x14ac:dyDescent="0.3">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x14ac:dyDescent="0.3">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x14ac:dyDescent="0.3">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x14ac:dyDescent="0.3">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x14ac:dyDescent="0.3">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x14ac:dyDescent="0.3">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x14ac:dyDescent="0.3">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x14ac:dyDescent="0.3">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x14ac:dyDescent="0.3">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x14ac:dyDescent="0.3">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x14ac:dyDescent="0.3">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x14ac:dyDescent="0.3">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x14ac:dyDescent="0.3">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x14ac:dyDescent="0.3">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x14ac:dyDescent="0.3">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x14ac:dyDescent="0.3">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x14ac:dyDescent="0.3">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x14ac:dyDescent="0.3">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x14ac:dyDescent="0.3">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x14ac:dyDescent="0.3">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x14ac:dyDescent="0.3">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x14ac:dyDescent="0.3">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x14ac:dyDescent="0.3">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x14ac:dyDescent="0.3">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x14ac:dyDescent="0.3">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x14ac:dyDescent="0.3">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x14ac:dyDescent="0.3">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x14ac:dyDescent="0.3">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x14ac:dyDescent="0.3">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x14ac:dyDescent="0.3">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x14ac:dyDescent="0.3">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x14ac:dyDescent="0.3">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x14ac:dyDescent="0.3">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x14ac:dyDescent="0.3">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x14ac:dyDescent="0.3">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x14ac:dyDescent="0.3">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x14ac:dyDescent="0.3">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x14ac:dyDescent="0.3">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x14ac:dyDescent="0.3">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x14ac:dyDescent="0.3">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x14ac:dyDescent="0.3">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x14ac:dyDescent="0.3">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x14ac:dyDescent="0.3">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x14ac:dyDescent="0.3">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x14ac:dyDescent="0.3">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x14ac:dyDescent="0.3">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x14ac:dyDescent="0.3">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x14ac:dyDescent="0.3">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x14ac:dyDescent="0.3">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x14ac:dyDescent="0.3">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x14ac:dyDescent="0.3">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x14ac:dyDescent="0.3">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x14ac:dyDescent="0.3">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x14ac:dyDescent="0.3">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x14ac:dyDescent="0.3">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x14ac:dyDescent="0.3">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x14ac:dyDescent="0.3">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x14ac:dyDescent="0.3">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x14ac:dyDescent="0.3">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x14ac:dyDescent="0.3">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x14ac:dyDescent="0.3">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x14ac:dyDescent="0.3">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x14ac:dyDescent="0.3">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x14ac:dyDescent="0.3">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x14ac:dyDescent="0.3">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x14ac:dyDescent="0.3">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x14ac:dyDescent="0.3">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x14ac:dyDescent="0.3">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x14ac:dyDescent="0.3">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x14ac:dyDescent="0.3">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x14ac:dyDescent="0.3">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x14ac:dyDescent="0.3">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x14ac:dyDescent="0.3">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x14ac:dyDescent="0.3">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x14ac:dyDescent="0.3">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x14ac:dyDescent="0.3">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x14ac:dyDescent="0.3">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x14ac:dyDescent="0.3">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x14ac:dyDescent="0.3">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x14ac:dyDescent="0.3">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x14ac:dyDescent="0.3">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x14ac:dyDescent="0.3">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x14ac:dyDescent="0.3">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x14ac:dyDescent="0.3">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x14ac:dyDescent="0.3">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x14ac:dyDescent="0.3">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x14ac:dyDescent="0.3">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x14ac:dyDescent="0.3">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x14ac:dyDescent="0.3">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x14ac:dyDescent="0.3">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x14ac:dyDescent="0.3">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x14ac:dyDescent="0.3">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x14ac:dyDescent="0.3">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x14ac:dyDescent="0.3">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x14ac:dyDescent="0.3">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x14ac:dyDescent="0.3">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x14ac:dyDescent="0.3">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x14ac:dyDescent="0.3">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x14ac:dyDescent="0.3">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x14ac:dyDescent="0.3">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x14ac:dyDescent="0.3">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x14ac:dyDescent="0.3">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x14ac:dyDescent="0.3">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x14ac:dyDescent="0.3">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x14ac:dyDescent="0.3">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x14ac:dyDescent="0.3">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x14ac:dyDescent="0.3">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x14ac:dyDescent="0.3">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x14ac:dyDescent="0.3">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x14ac:dyDescent="0.3">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x14ac:dyDescent="0.3">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x14ac:dyDescent="0.3">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x14ac:dyDescent="0.3">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x14ac:dyDescent="0.3">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x14ac:dyDescent="0.3">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x14ac:dyDescent="0.3">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x14ac:dyDescent="0.3">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x14ac:dyDescent="0.3">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x14ac:dyDescent="0.3">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x14ac:dyDescent="0.3">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x14ac:dyDescent="0.3">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x14ac:dyDescent="0.3">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x14ac:dyDescent="0.3">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x14ac:dyDescent="0.3">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x14ac:dyDescent="0.3">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x14ac:dyDescent="0.3">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x14ac:dyDescent="0.3">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x14ac:dyDescent="0.3">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x14ac:dyDescent="0.3">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x14ac:dyDescent="0.3">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x14ac:dyDescent="0.3">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x14ac:dyDescent="0.3">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x14ac:dyDescent="0.3">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x14ac:dyDescent="0.3">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x14ac:dyDescent="0.3">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x14ac:dyDescent="0.3">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x14ac:dyDescent="0.3">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x14ac:dyDescent="0.3">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x14ac:dyDescent="0.3">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x14ac:dyDescent="0.3">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x14ac:dyDescent="0.3">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x14ac:dyDescent="0.3">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x14ac:dyDescent="0.3">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x14ac:dyDescent="0.3">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x14ac:dyDescent="0.3">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x14ac:dyDescent="0.3">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x14ac:dyDescent="0.3">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x14ac:dyDescent="0.3">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x14ac:dyDescent="0.3">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x14ac:dyDescent="0.3">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x14ac:dyDescent="0.3">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x14ac:dyDescent="0.3">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x14ac:dyDescent="0.3">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x14ac:dyDescent="0.3">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x14ac:dyDescent="0.3">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x14ac:dyDescent="0.3">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x14ac:dyDescent="0.3">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x14ac:dyDescent="0.3">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x14ac:dyDescent="0.3">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x14ac:dyDescent="0.3">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x14ac:dyDescent="0.3">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x14ac:dyDescent="0.3">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x14ac:dyDescent="0.3">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x14ac:dyDescent="0.3">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x14ac:dyDescent="0.3">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x14ac:dyDescent="0.3">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x14ac:dyDescent="0.3">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x14ac:dyDescent="0.3">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x14ac:dyDescent="0.3">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x14ac:dyDescent="0.3">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x14ac:dyDescent="0.3">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x14ac:dyDescent="0.3">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x14ac:dyDescent="0.3">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x14ac:dyDescent="0.3">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x14ac:dyDescent="0.3">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x14ac:dyDescent="0.3">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x14ac:dyDescent="0.3">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x14ac:dyDescent="0.3">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x14ac:dyDescent="0.3">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x14ac:dyDescent="0.3">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x14ac:dyDescent="0.3">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x14ac:dyDescent="0.3">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x14ac:dyDescent="0.3">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x14ac:dyDescent="0.3">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x14ac:dyDescent="0.3">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x14ac:dyDescent="0.3">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x14ac:dyDescent="0.3">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x14ac:dyDescent="0.3">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x14ac:dyDescent="0.3">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x14ac:dyDescent="0.3">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x14ac:dyDescent="0.3">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x14ac:dyDescent="0.3">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x14ac:dyDescent="0.3">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x14ac:dyDescent="0.3">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x14ac:dyDescent="0.3">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x14ac:dyDescent="0.3">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x14ac:dyDescent="0.3">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x14ac:dyDescent="0.3">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x14ac:dyDescent="0.3">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x14ac:dyDescent="0.3">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x14ac:dyDescent="0.3">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x14ac:dyDescent="0.3">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x14ac:dyDescent="0.3">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x14ac:dyDescent="0.3">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x14ac:dyDescent="0.3">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x14ac:dyDescent="0.3">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x14ac:dyDescent="0.3">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x14ac:dyDescent="0.3">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x14ac:dyDescent="0.3">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x14ac:dyDescent="0.3">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x14ac:dyDescent="0.3">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x14ac:dyDescent="0.3">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x14ac:dyDescent="0.3">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x14ac:dyDescent="0.3">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x14ac:dyDescent="0.3">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x14ac:dyDescent="0.3">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x14ac:dyDescent="0.3">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x14ac:dyDescent="0.3">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x14ac:dyDescent="0.3">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x14ac:dyDescent="0.3">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x14ac:dyDescent="0.3">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x14ac:dyDescent="0.3">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x14ac:dyDescent="0.3">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x14ac:dyDescent="0.3">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x14ac:dyDescent="0.3">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x14ac:dyDescent="0.3">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x14ac:dyDescent="0.3">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x14ac:dyDescent="0.3">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x14ac:dyDescent="0.3">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x14ac:dyDescent="0.3">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x14ac:dyDescent="0.3">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x14ac:dyDescent="0.3">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x14ac:dyDescent="0.3">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x14ac:dyDescent="0.3">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x14ac:dyDescent="0.3">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x14ac:dyDescent="0.3">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x14ac:dyDescent="0.3">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x14ac:dyDescent="0.3">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x14ac:dyDescent="0.3">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x14ac:dyDescent="0.3">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x14ac:dyDescent="0.3">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x14ac:dyDescent="0.3">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x14ac:dyDescent="0.3">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x14ac:dyDescent="0.3">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x14ac:dyDescent="0.3">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x14ac:dyDescent="0.3">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x14ac:dyDescent="0.3">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x14ac:dyDescent="0.3">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x14ac:dyDescent="0.3">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x14ac:dyDescent="0.3">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x14ac:dyDescent="0.3">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x14ac:dyDescent="0.3">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x14ac:dyDescent="0.3">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x14ac:dyDescent="0.3">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x14ac:dyDescent="0.3">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x14ac:dyDescent="0.3">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x14ac:dyDescent="0.3">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x14ac:dyDescent="0.3">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x14ac:dyDescent="0.3">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x14ac:dyDescent="0.3">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x14ac:dyDescent="0.3">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x14ac:dyDescent="0.3">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x14ac:dyDescent="0.3">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x14ac:dyDescent="0.3">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x14ac:dyDescent="0.3">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x14ac:dyDescent="0.3">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x14ac:dyDescent="0.3">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x14ac:dyDescent="0.3">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x14ac:dyDescent="0.3">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x14ac:dyDescent="0.3">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x14ac:dyDescent="0.3">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x14ac:dyDescent="0.3">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x14ac:dyDescent="0.3">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x14ac:dyDescent="0.3">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x14ac:dyDescent="0.3">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x14ac:dyDescent="0.3">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x14ac:dyDescent="0.3">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x14ac:dyDescent="0.3">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x14ac:dyDescent="0.3">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x14ac:dyDescent="0.3">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x14ac:dyDescent="0.3">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x14ac:dyDescent="0.3">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x14ac:dyDescent="0.3">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x14ac:dyDescent="0.3">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x14ac:dyDescent="0.3">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x14ac:dyDescent="0.3">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x14ac:dyDescent="0.3">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x14ac:dyDescent="0.3">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x14ac:dyDescent="0.3">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x14ac:dyDescent="0.3">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x14ac:dyDescent="0.3">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x14ac:dyDescent="0.3">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x14ac:dyDescent="0.3">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x14ac:dyDescent="0.3">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x14ac:dyDescent="0.3">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x14ac:dyDescent="0.3">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x14ac:dyDescent="0.3">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x14ac:dyDescent="0.3">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x14ac:dyDescent="0.3">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x14ac:dyDescent="0.3">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x14ac:dyDescent="0.3">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x14ac:dyDescent="0.3">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x14ac:dyDescent="0.3">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x14ac:dyDescent="0.3">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x14ac:dyDescent="0.3">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x14ac:dyDescent="0.3">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x14ac:dyDescent="0.3">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x14ac:dyDescent="0.3">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x14ac:dyDescent="0.3">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x14ac:dyDescent="0.3">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x14ac:dyDescent="0.3">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x14ac:dyDescent="0.3">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x14ac:dyDescent="0.3">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x14ac:dyDescent="0.3">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x14ac:dyDescent="0.3">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x14ac:dyDescent="0.3">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x14ac:dyDescent="0.3">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x14ac:dyDescent="0.3">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x14ac:dyDescent="0.3">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x14ac:dyDescent="0.3">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x14ac:dyDescent="0.3">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x14ac:dyDescent="0.3">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x14ac:dyDescent="0.3">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x14ac:dyDescent="0.3">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x14ac:dyDescent="0.3">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x14ac:dyDescent="0.3">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x14ac:dyDescent="0.3">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x14ac:dyDescent="0.3">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x14ac:dyDescent="0.3">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x14ac:dyDescent="0.3">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x14ac:dyDescent="0.3">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x14ac:dyDescent="0.3">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x14ac:dyDescent="0.3">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x14ac:dyDescent="0.3">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x14ac:dyDescent="0.3">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x14ac:dyDescent="0.3">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x14ac:dyDescent="0.3">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x14ac:dyDescent="0.3">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x14ac:dyDescent="0.3">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x14ac:dyDescent="0.3">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x14ac:dyDescent="0.3">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x14ac:dyDescent="0.3">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x14ac:dyDescent="0.3">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x14ac:dyDescent="0.3">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x14ac:dyDescent="0.3">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x14ac:dyDescent="0.3">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x14ac:dyDescent="0.3">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x14ac:dyDescent="0.3">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x14ac:dyDescent="0.3">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x14ac:dyDescent="0.3">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x14ac:dyDescent="0.3">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x14ac:dyDescent="0.3">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x14ac:dyDescent="0.3">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x14ac:dyDescent="0.3">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x14ac:dyDescent="0.3">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x14ac:dyDescent="0.3">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x14ac:dyDescent="0.3">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x14ac:dyDescent="0.3">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x14ac:dyDescent="0.3">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x14ac:dyDescent="0.3">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x14ac:dyDescent="0.3">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x14ac:dyDescent="0.3">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x14ac:dyDescent="0.3">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x14ac:dyDescent="0.3">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x14ac:dyDescent="0.3">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x14ac:dyDescent="0.3">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x14ac:dyDescent="0.3">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x14ac:dyDescent="0.3">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x14ac:dyDescent="0.3">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x14ac:dyDescent="0.3">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x14ac:dyDescent="0.3">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x14ac:dyDescent="0.3">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x14ac:dyDescent="0.3">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x14ac:dyDescent="0.3">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x14ac:dyDescent="0.3">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x14ac:dyDescent="0.3">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x14ac:dyDescent="0.3">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x14ac:dyDescent="0.3">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x14ac:dyDescent="0.3">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x14ac:dyDescent="0.3">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x14ac:dyDescent="0.3">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x14ac:dyDescent="0.3">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x14ac:dyDescent="0.3">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x14ac:dyDescent="0.3">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x14ac:dyDescent="0.3">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x14ac:dyDescent="0.3">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x14ac:dyDescent="0.3">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x14ac:dyDescent="0.3">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x14ac:dyDescent="0.3">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x14ac:dyDescent="0.3">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x14ac:dyDescent="0.3">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x14ac:dyDescent="0.3">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x14ac:dyDescent="0.3">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x14ac:dyDescent="0.3">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x14ac:dyDescent="0.3">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x14ac:dyDescent="0.3">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x14ac:dyDescent="0.3">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x14ac:dyDescent="0.3">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x14ac:dyDescent="0.3">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x14ac:dyDescent="0.3">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x14ac:dyDescent="0.3">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x14ac:dyDescent="0.3">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x14ac:dyDescent="0.3">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x14ac:dyDescent="0.3">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x14ac:dyDescent="0.3">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x14ac:dyDescent="0.3">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x14ac:dyDescent="0.3">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x14ac:dyDescent="0.3">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x14ac:dyDescent="0.3">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x14ac:dyDescent="0.3">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x14ac:dyDescent="0.3">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x14ac:dyDescent="0.3">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x14ac:dyDescent="0.3">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x14ac:dyDescent="0.3">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x14ac:dyDescent="0.3">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x14ac:dyDescent="0.3">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x14ac:dyDescent="0.3">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x14ac:dyDescent="0.3">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x14ac:dyDescent="0.3">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x14ac:dyDescent="0.3">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x14ac:dyDescent="0.3">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x14ac:dyDescent="0.3">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x14ac:dyDescent="0.3">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x14ac:dyDescent="0.3">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x14ac:dyDescent="0.3">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x14ac:dyDescent="0.3">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x14ac:dyDescent="0.3">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x14ac:dyDescent="0.3">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x14ac:dyDescent="0.3">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x14ac:dyDescent="0.3">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x14ac:dyDescent="0.3">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x14ac:dyDescent="0.3">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x14ac:dyDescent="0.3">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x14ac:dyDescent="0.3">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x14ac:dyDescent="0.3">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x14ac:dyDescent="0.3">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x14ac:dyDescent="0.3">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x14ac:dyDescent="0.3">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x14ac:dyDescent="0.3">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x14ac:dyDescent="0.3">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x14ac:dyDescent="0.3">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x14ac:dyDescent="0.3">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x14ac:dyDescent="0.3">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x14ac:dyDescent="0.3">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x14ac:dyDescent="0.3">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x14ac:dyDescent="0.3">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x14ac:dyDescent="0.3">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x14ac:dyDescent="0.3">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x14ac:dyDescent="0.3">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x14ac:dyDescent="0.3">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x14ac:dyDescent="0.3">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x14ac:dyDescent="0.3">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x14ac:dyDescent="0.3">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x14ac:dyDescent="0.3">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x14ac:dyDescent="0.3">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x14ac:dyDescent="0.3">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x14ac:dyDescent="0.3">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x14ac:dyDescent="0.3">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x14ac:dyDescent="0.3">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x14ac:dyDescent="0.3">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x14ac:dyDescent="0.3">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x14ac:dyDescent="0.3">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x14ac:dyDescent="0.3">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x14ac:dyDescent="0.3">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x14ac:dyDescent="0.3">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x14ac:dyDescent="0.3">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x14ac:dyDescent="0.3">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x14ac:dyDescent="0.3">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x14ac:dyDescent="0.3">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x14ac:dyDescent="0.3">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x14ac:dyDescent="0.3">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x14ac:dyDescent="0.3">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x14ac:dyDescent="0.3">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x14ac:dyDescent="0.3">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x14ac:dyDescent="0.3">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x14ac:dyDescent="0.3">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x14ac:dyDescent="0.3">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x14ac:dyDescent="0.3">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x14ac:dyDescent="0.3">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x14ac:dyDescent="0.3">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x14ac:dyDescent="0.3">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x14ac:dyDescent="0.3">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x14ac:dyDescent="0.3">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x14ac:dyDescent="0.3">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x14ac:dyDescent="0.3">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x14ac:dyDescent="0.3">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x14ac:dyDescent="0.3">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x14ac:dyDescent="0.3">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x14ac:dyDescent="0.3">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x14ac:dyDescent="0.3">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x14ac:dyDescent="0.3">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x14ac:dyDescent="0.3">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x14ac:dyDescent="0.3">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x14ac:dyDescent="0.3">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x14ac:dyDescent="0.3">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x14ac:dyDescent="0.3">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x14ac:dyDescent="0.3">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x14ac:dyDescent="0.3">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x14ac:dyDescent="0.3">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x14ac:dyDescent="0.3">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x14ac:dyDescent="0.3">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x14ac:dyDescent="0.3">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x14ac:dyDescent="0.3">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x14ac:dyDescent="0.3">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x14ac:dyDescent="0.3">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x14ac:dyDescent="0.3">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x14ac:dyDescent="0.3">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x14ac:dyDescent="0.3">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x14ac:dyDescent="0.3">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x14ac:dyDescent="0.3">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x14ac:dyDescent="0.3">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x14ac:dyDescent="0.3">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x14ac:dyDescent="0.3">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x14ac:dyDescent="0.3">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x14ac:dyDescent="0.3">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x14ac:dyDescent="0.3">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x14ac:dyDescent="0.3">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x14ac:dyDescent="0.3">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x14ac:dyDescent="0.3">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x14ac:dyDescent="0.3">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x14ac:dyDescent="0.3">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x14ac:dyDescent="0.3">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x14ac:dyDescent="0.3">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x14ac:dyDescent="0.3">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x14ac:dyDescent="0.3">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x14ac:dyDescent="0.3">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x14ac:dyDescent="0.3">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x14ac:dyDescent="0.3">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x14ac:dyDescent="0.3">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x14ac:dyDescent="0.3">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x14ac:dyDescent="0.3">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x14ac:dyDescent="0.3">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x14ac:dyDescent="0.3">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x14ac:dyDescent="0.3">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x14ac:dyDescent="0.3">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x14ac:dyDescent="0.3">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x14ac:dyDescent="0.3">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x14ac:dyDescent="0.3">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x14ac:dyDescent="0.3">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x14ac:dyDescent="0.3">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x14ac:dyDescent="0.3">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x14ac:dyDescent="0.3">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x14ac:dyDescent="0.3">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x14ac:dyDescent="0.3">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x14ac:dyDescent="0.3">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x14ac:dyDescent="0.3">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x14ac:dyDescent="0.3">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x14ac:dyDescent="0.3">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x14ac:dyDescent="0.3">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x14ac:dyDescent="0.3">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x14ac:dyDescent="0.3">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x14ac:dyDescent="0.3">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x14ac:dyDescent="0.3">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x14ac:dyDescent="0.3">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x14ac:dyDescent="0.3">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x14ac:dyDescent="0.3">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x14ac:dyDescent="0.3">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x14ac:dyDescent="0.3">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x14ac:dyDescent="0.3">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x14ac:dyDescent="0.3">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x14ac:dyDescent="0.3">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x14ac:dyDescent="0.3">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x14ac:dyDescent="0.3">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x14ac:dyDescent="0.3">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x14ac:dyDescent="0.3">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x14ac:dyDescent="0.3">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x14ac:dyDescent="0.3">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x14ac:dyDescent="0.3">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x14ac:dyDescent="0.3">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x14ac:dyDescent="0.3">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x14ac:dyDescent="0.3">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x14ac:dyDescent="0.3">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x14ac:dyDescent="0.3">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x14ac:dyDescent="0.3">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x14ac:dyDescent="0.3">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x14ac:dyDescent="0.3">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x14ac:dyDescent="0.3">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x14ac:dyDescent="0.3">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x14ac:dyDescent="0.3">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x14ac:dyDescent="0.3">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x14ac:dyDescent="0.3">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x14ac:dyDescent="0.3">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x14ac:dyDescent="0.3">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x14ac:dyDescent="0.3">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x14ac:dyDescent="0.3">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x14ac:dyDescent="0.3">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x14ac:dyDescent="0.3">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x14ac:dyDescent="0.3">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x14ac:dyDescent="0.3">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x14ac:dyDescent="0.3">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x14ac:dyDescent="0.3">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x14ac:dyDescent="0.3">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x14ac:dyDescent="0.3">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x14ac:dyDescent="0.3">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x14ac:dyDescent="0.3">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x14ac:dyDescent="0.3">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x14ac:dyDescent="0.3">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x14ac:dyDescent="0.3">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x14ac:dyDescent="0.3">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x14ac:dyDescent="0.3">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x14ac:dyDescent="0.3">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x14ac:dyDescent="0.3">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x14ac:dyDescent="0.3">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x14ac:dyDescent="0.3">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x14ac:dyDescent="0.3">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x14ac:dyDescent="0.3">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x14ac:dyDescent="0.3">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x14ac:dyDescent="0.3">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x14ac:dyDescent="0.3">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x14ac:dyDescent="0.3">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x14ac:dyDescent="0.3">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x14ac:dyDescent="0.3">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x14ac:dyDescent="0.3">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x14ac:dyDescent="0.3">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x14ac:dyDescent="0.3">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x14ac:dyDescent="0.3">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x14ac:dyDescent="0.3">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x14ac:dyDescent="0.3">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x14ac:dyDescent="0.3">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x14ac:dyDescent="0.3">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x14ac:dyDescent="0.3">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x14ac:dyDescent="0.3">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x14ac:dyDescent="0.3">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x14ac:dyDescent="0.3">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x14ac:dyDescent="0.3">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x14ac:dyDescent="0.3">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x14ac:dyDescent="0.3">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x14ac:dyDescent="0.3">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x14ac:dyDescent="0.3">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x14ac:dyDescent="0.3">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x14ac:dyDescent="0.3">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x14ac:dyDescent="0.3">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x14ac:dyDescent="0.3">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x14ac:dyDescent="0.3">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x14ac:dyDescent="0.3">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x14ac:dyDescent="0.3">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x14ac:dyDescent="0.3">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x14ac:dyDescent="0.3">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x14ac:dyDescent="0.3">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x14ac:dyDescent="0.3">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x14ac:dyDescent="0.3">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x14ac:dyDescent="0.3">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x14ac:dyDescent="0.3">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x14ac:dyDescent="0.3">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x14ac:dyDescent="0.3">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x14ac:dyDescent="0.3">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x14ac:dyDescent="0.3">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x14ac:dyDescent="0.3">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x14ac:dyDescent="0.3">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x14ac:dyDescent="0.3">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x14ac:dyDescent="0.3">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x14ac:dyDescent="0.3">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x14ac:dyDescent="0.3">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x14ac:dyDescent="0.3">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x14ac:dyDescent="0.3">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x14ac:dyDescent="0.3">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x14ac:dyDescent="0.3">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x14ac:dyDescent="0.3">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x14ac:dyDescent="0.3">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x14ac:dyDescent="0.3">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x14ac:dyDescent="0.3">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x14ac:dyDescent="0.3">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x14ac:dyDescent="0.3">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x14ac:dyDescent="0.3">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x14ac:dyDescent="0.3">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x14ac:dyDescent="0.3">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x14ac:dyDescent="0.3">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x14ac:dyDescent="0.3">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x14ac:dyDescent="0.3">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x14ac:dyDescent="0.3">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x14ac:dyDescent="0.3">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x14ac:dyDescent="0.3">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x14ac:dyDescent="0.3">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x14ac:dyDescent="0.3">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x14ac:dyDescent="0.3">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x14ac:dyDescent="0.3">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x14ac:dyDescent="0.3">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x14ac:dyDescent="0.3">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x14ac:dyDescent="0.3">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x14ac:dyDescent="0.3">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x14ac:dyDescent="0.3">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x14ac:dyDescent="0.3">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x14ac:dyDescent="0.3">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x14ac:dyDescent="0.3">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x14ac:dyDescent="0.3">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x14ac:dyDescent="0.3">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x14ac:dyDescent="0.3">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x14ac:dyDescent="0.3">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x14ac:dyDescent="0.3">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x14ac:dyDescent="0.3">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x14ac:dyDescent="0.3">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x14ac:dyDescent="0.3">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x14ac:dyDescent="0.3">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x14ac:dyDescent="0.3">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x14ac:dyDescent="0.3">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x14ac:dyDescent="0.3">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x14ac:dyDescent="0.3">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x14ac:dyDescent="0.3">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x14ac:dyDescent="0.3">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x14ac:dyDescent="0.3">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x14ac:dyDescent="0.3">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x14ac:dyDescent="0.3">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x14ac:dyDescent="0.3">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x14ac:dyDescent="0.3">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x14ac:dyDescent="0.3">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x14ac:dyDescent="0.3">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x14ac:dyDescent="0.3">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x14ac:dyDescent="0.3">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x14ac:dyDescent="0.3">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x14ac:dyDescent="0.3">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x14ac:dyDescent="0.3">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x14ac:dyDescent="0.3">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x14ac:dyDescent="0.3">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x14ac:dyDescent="0.3">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x14ac:dyDescent="0.3">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x14ac:dyDescent="0.3">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x14ac:dyDescent="0.3">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x14ac:dyDescent="0.3">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x14ac:dyDescent="0.3">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x14ac:dyDescent="0.3">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x14ac:dyDescent="0.3">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x14ac:dyDescent="0.3">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x14ac:dyDescent="0.3">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x14ac:dyDescent="0.3">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x14ac:dyDescent="0.3">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x14ac:dyDescent="0.3">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x14ac:dyDescent="0.3">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x14ac:dyDescent="0.3">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x14ac:dyDescent="0.3">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x14ac:dyDescent="0.3">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x14ac:dyDescent="0.3">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x14ac:dyDescent="0.3">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x14ac:dyDescent="0.3">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x14ac:dyDescent="0.3">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x14ac:dyDescent="0.3">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x14ac:dyDescent="0.3">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x14ac:dyDescent="0.3">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x14ac:dyDescent="0.3">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x14ac:dyDescent="0.3">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x14ac:dyDescent="0.3">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x14ac:dyDescent="0.3">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x14ac:dyDescent="0.3">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x14ac:dyDescent="0.3">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x14ac:dyDescent="0.3">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x14ac:dyDescent="0.3">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x14ac:dyDescent="0.3">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x14ac:dyDescent="0.3">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x14ac:dyDescent="0.3">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x14ac:dyDescent="0.3">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x14ac:dyDescent="0.3">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x14ac:dyDescent="0.3">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x14ac:dyDescent="0.3">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x14ac:dyDescent="0.3">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x14ac:dyDescent="0.3">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x14ac:dyDescent="0.3">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x14ac:dyDescent="0.3">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x14ac:dyDescent="0.3">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x14ac:dyDescent="0.3">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x14ac:dyDescent="0.3">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x14ac:dyDescent="0.3">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x14ac:dyDescent="0.3">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x14ac:dyDescent="0.3">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x14ac:dyDescent="0.3">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x14ac:dyDescent="0.3">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x14ac:dyDescent="0.3">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x14ac:dyDescent="0.3">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x14ac:dyDescent="0.3">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x14ac:dyDescent="0.3">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x14ac:dyDescent="0.3">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x14ac:dyDescent="0.3">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x14ac:dyDescent="0.3">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x14ac:dyDescent="0.3">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x14ac:dyDescent="0.3">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x14ac:dyDescent="0.3">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x14ac:dyDescent="0.3">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x14ac:dyDescent="0.3">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x14ac:dyDescent="0.3">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x14ac:dyDescent="0.3">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x14ac:dyDescent="0.3">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x14ac:dyDescent="0.3">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x14ac:dyDescent="0.3">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x14ac:dyDescent="0.3">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x14ac:dyDescent="0.3">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x14ac:dyDescent="0.3">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x14ac:dyDescent="0.3">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x14ac:dyDescent="0.3">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x14ac:dyDescent="0.3">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x14ac:dyDescent="0.3">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x14ac:dyDescent="0.3">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x14ac:dyDescent="0.3">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x14ac:dyDescent="0.3">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x14ac:dyDescent="0.3">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x14ac:dyDescent="0.3">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x14ac:dyDescent="0.3">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x14ac:dyDescent="0.3">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x14ac:dyDescent="0.3">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x14ac:dyDescent="0.3">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x14ac:dyDescent="0.3">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x14ac:dyDescent="0.3">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x14ac:dyDescent="0.3">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x14ac:dyDescent="0.3">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x14ac:dyDescent="0.3">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x14ac:dyDescent="0.3">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x14ac:dyDescent="0.3">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x14ac:dyDescent="0.3">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x14ac:dyDescent="0.3">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x14ac:dyDescent="0.3">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x14ac:dyDescent="0.3">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x14ac:dyDescent="0.3">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x14ac:dyDescent="0.3">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x14ac:dyDescent="0.3">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x14ac:dyDescent="0.3">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x14ac:dyDescent="0.3">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x14ac:dyDescent="0.3">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x14ac:dyDescent="0.3">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x14ac:dyDescent="0.3">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x14ac:dyDescent="0.3">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x14ac:dyDescent="0.3">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x14ac:dyDescent="0.3">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x14ac:dyDescent="0.3">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x14ac:dyDescent="0.3">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x14ac:dyDescent="0.3">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x14ac:dyDescent="0.3">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x14ac:dyDescent="0.3">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x14ac:dyDescent="0.3">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x14ac:dyDescent="0.3">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x14ac:dyDescent="0.3">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x14ac:dyDescent="0.3">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x14ac:dyDescent="0.3">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x14ac:dyDescent="0.3">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x14ac:dyDescent="0.3">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x14ac:dyDescent="0.3">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x14ac:dyDescent="0.3">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x14ac:dyDescent="0.3">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x14ac:dyDescent="0.3">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x14ac:dyDescent="0.3">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x14ac:dyDescent="0.3">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x14ac:dyDescent="0.3">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x14ac:dyDescent="0.3">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x14ac:dyDescent="0.3">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x14ac:dyDescent="0.3">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x14ac:dyDescent="0.3">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x14ac:dyDescent="0.3">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x14ac:dyDescent="0.3">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x14ac:dyDescent="0.3">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x14ac:dyDescent="0.3">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x14ac:dyDescent="0.3">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x14ac:dyDescent="0.3">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x14ac:dyDescent="0.3">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x14ac:dyDescent="0.3">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x14ac:dyDescent="0.3">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x14ac:dyDescent="0.3">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x14ac:dyDescent="0.3">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x14ac:dyDescent="0.3">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x14ac:dyDescent="0.3">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x14ac:dyDescent="0.3">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x14ac:dyDescent="0.3">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x14ac:dyDescent="0.3">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x14ac:dyDescent="0.3">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x14ac:dyDescent="0.3">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x14ac:dyDescent="0.3">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x14ac:dyDescent="0.3">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x14ac:dyDescent="0.3">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x14ac:dyDescent="0.3">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x14ac:dyDescent="0.3">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x14ac:dyDescent="0.3">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x14ac:dyDescent="0.3">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x14ac:dyDescent="0.3">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x14ac:dyDescent="0.3">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x14ac:dyDescent="0.3">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x14ac:dyDescent="0.3">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x14ac:dyDescent="0.3">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x14ac:dyDescent="0.3">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x14ac:dyDescent="0.3">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x14ac:dyDescent="0.3">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x14ac:dyDescent="0.3">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x14ac:dyDescent="0.3">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x14ac:dyDescent="0.3">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x14ac:dyDescent="0.3">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x14ac:dyDescent="0.3">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x14ac:dyDescent="0.3">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x14ac:dyDescent="0.3">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x14ac:dyDescent="0.3">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x14ac:dyDescent="0.3">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x14ac:dyDescent="0.3">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x14ac:dyDescent="0.3">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x14ac:dyDescent="0.3">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x14ac:dyDescent="0.3">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x14ac:dyDescent="0.3">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x14ac:dyDescent="0.3">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x14ac:dyDescent="0.3">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x14ac:dyDescent="0.3">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x14ac:dyDescent="0.3">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x14ac:dyDescent="0.3">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x14ac:dyDescent="0.3">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x14ac:dyDescent="0.3">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x14ac:dyDescent="0.3">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x14ac:dyDescent="0.3">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x14ac:dyDescent="0.3">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x14ac:dyDescent="0.3">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x14ac:dyDescent="0.3">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x14ac:dyDescent="0.3">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x14ac:dyDescent="0.3">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x14ac:dyDescent="0.3">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x14ac:dyDescent="0.3">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x14ac:dyDescent="0.3">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x14ac:dyDescent="0.3">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x14ac:dyDescent="0.3">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x14ac:dyDescent="0.3">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x14ac:dyDescent="0.3">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x14ac:dyDescent="0.3">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x14ac:dyDescent="0.3">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x14ac:dyDescent="0.3">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x14ac:dyDescent="0.3">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x14ac:dyDescent="0.3">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x14ac:dyDescent="0.3">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x14ac:dyDescent="0.3">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x14ac:dyDescent="0.3">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x14ac:dyDescent="0.3">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x14ac:dyDescent="0.3">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x14ac:dyDescent="0.3">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x14ac:dyDescent="0.3">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x14ac:dyDescent="0.3">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x14ac:dyDescent="0.3">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x14ac:dyDescent="0.3">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x14ac:dyDescent="0.3">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x14ac:dyDescent="0.3">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x14ac:dyDescent="0.3">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x14ac:dyDescent="0.3">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x14ac:dyDescent="0.3">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x14ac:dyDescent="0.3">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x14ac:dyDescent="0.3">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x14ac:dyDescent="0.3">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x14ac:dyDescent="0.3">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x14ac:dyDescent="0.3">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x14ac:dyDescent="0.3">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x14ac:dyDescent="0.3">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x14ac:dyDescent="0.3">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x14ac:dyDescent="0.3">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x14ac:dyDescent="0.3">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x14ac:dyDescent="0.3">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x14ac:dyDescent="0.3">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x14ac:dyDescent="0.3">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x14ac:dyDescent="0.3">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x14ac:dyDescent="0.3">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x14ac:dyDescent="0.3">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x14ac:dyDescent="0.3">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x14ac:dyDescent="0.3">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x14ac:dyDescent="0.3">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x14ac:dyDescent="0.3">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x14ac:dyDescent="0.3">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x14ac:dyDescent="0.3">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x14ac:dyDescent="0.3">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x14ac:dyDescent="0.3">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x14ac:dyDescent="0.3">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x14ac:dyDescent="0.3">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x14ac:dyDescent="0.3">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x14ac:dyDescent="0.3">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x14ac:dyDescent="0.3">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x14ac:dyDescent="0.3">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x14ac:dyDescent="0.3">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x14ac:dyDescent="0.3">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x14ac:dyDescent="0.3">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x14ac:dyDescent="0.3">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x14ac:dyDescent="0.3">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x14ac:dyDescent="0.3">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x14ac:dyDescent="0.3">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x14ac:dyDescent="0.3">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x14ac:dyDescent="0.3">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x14ac:dyDescent="0.3">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x14ac:dyDescent="0.3">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x14ac:dyDescent="0.3">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x14ac:dyDescent="0.3">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x14ac:dyDescent="0.3">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x14ac:dyDescent="0.3">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x14ac:dyDescent="0.3">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x14ac:dyDescent="0.3">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x14ac:dyDescent="0.3">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x14ac:dyDescent="0.3">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x14ac:dyDescent="0.3">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x14ac:dyDescent="0.3">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x14ac:dyDescent="0.3">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x14ac:dyDescent="0.3">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x14ac:dyDescent="0.3">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x14ac:dyDescent="0.3">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x14ac:dyDescent="0.3">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x14ac:dyDescent="0.3">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x14ac:dyDescent="0.3">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x14ac:dyDescent="0.3">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x14ac:dyDescent="0.3">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x14ac:dyDescent="0.3">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x14ac:dyDescent="0.3">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x14ac:dyDescent="0.3">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x14ac:dyDescent="0.3">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x14ac:dyDescent="0.3">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x14ac:dyDescent="0.3">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x14ac:dyDescent="0.3">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x14ac:dyDescent="0.3">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x14ac:dyDescent="0.3">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x14ac:dyDescent="0.3">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x14ac:dyDescent="0.3">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x14ac:dyDescent="0.3">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x14ac:dyDescent="0.3">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x14ac:dyDescent="0.3">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x14ac:dyDescent="0.3">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x14ac:dyDescent="0.3">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x14ac:dyDescent="0.3">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x14ac:dyDescent="0.3">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x14ac:dyDescent="0.3">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x14ac:dyDescent="0.3">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x14ac:dyDescent="0.3">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x14ac:dyDescent="0.3">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x14ac:dyDescent="0.3">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x14ac:dyDescent="0.3">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x14ac:dyDescent="0.3">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x14ac:dyDescent="0.3">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x14ac:dyDescent="0.3">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x14ac:dyDescent="0.3">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x14ac:dyDescent="0.3">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x14ac:dyDescent="0.3">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x14ac:dyDescent="0.3">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x14ac:dyDescent="0.3">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x14ac:dyDescent="0.3">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x14ac:dyDescent="0.3">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x14ac:dyDescent="0.3">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x14ac:dyDescent="0.3">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x14ac:dyDescent="0.3">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x14ac:dyDescent="0.3">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x14ac:dyDescent="0.3">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x14ac:dyDescent="0.3">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x14ac:dyDescent="0.3">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x14ac:dyDescent="0.3">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x14ac:dyDescent="0.3">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x14ac:dyDescent="0.3">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x14ac:dyDescent="0.3">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x14ac:dyDescent="0.3">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x14ac:dyDescent="0.3">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x14ac:dyDescent="0.3">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x14ac:dyDescent="0.3">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x14ac:dyDescent="0.3">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x14ac:dyDescent="0.3">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x14ac:dyDescent="0.3">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x14ac:dyDescent="0.3">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x14ac:dyDescent="0.3">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x14ac:dyDescent="0.3">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x14ac:dyDescent="0.3">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x14ac:dyDescent="0.3">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x14ac:dyDescent="0.3">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x14ac:dyDescent="0.3">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x14ac:dyDescent="0.3">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x14ac:dyDescent="0.3">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x14ac:dyDescent="0.3">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x14ac:dyDescent="0.3">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x14ac:dyDescent="0.3">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x14ac:dyDescent="0.3">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x14ac:dyDescent="0.3">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x14ac:dyDescent="0.3">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x14ac:dyDescent="0.3">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x14ac:dyDescent="0.3">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x14ac:dyDescent="0.3">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x14ac:dyDescent="0.3">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x14ac:dyDescent="0.3">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x14ac:dyDescent="0.3">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x14ac:dyDescent="0.3">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x14ac:dyDescent="0.3">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x14ac:dyDescent="0.3">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x14ac:dyDescent="0.3">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x14ac:dyDescent="0.3">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x14ac:dyDescent="0.3">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x14ac:dyDescent="0.3">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x14ac:dyDescent="0.3">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x14ac:dyDescent="0.3">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x14ac:dyDescent="0.3">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x14ac:dyDescent="0.3">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x14ac:dyDescent="0.3">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x14ac:dyDescent="0.3">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x14ac:dyDescent="0.3">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x14ac:dyDescent="0.3">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x14ac:dyDescent="0.3">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x14ac:dyDescent="0.3">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x14ac:dyDescent="0.3">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x14ac:dyDescent="0.3">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x14ac:dyDescent="0.3">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x14ac:dyDescent="0.3">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x14ac:dyDescent="0.3">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x14ac:dyDescent="0.3">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x14ac:dyDescent="0.3">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x14ac:dyDescent="0.3">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x14ac:dyDescent="0.3">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x14ac:dyDescent="0.3">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x14ac:dyDescent="0.3">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x14ac:dyDescent="0.3">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x14ac:dyDescent="0.3">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x14ac:dyDescent="0.3">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x14ac:dyDescent="0.3">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x14ac:dyDescent="0.3">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x14ac:dyDescent="0.3">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x14ac:dyDescent="0.3">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x14ac:dyDescent="0.3">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x14ac:dyDescent="0.3">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x14ac:dyDescent="0.3">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x14ac:dyDescent="0.3">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x14ac:dyDescent="0.3">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x14ac:dyDescent="0.3">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x14ac:dyDescent="0.3">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x14ac:dyDescent="0.3">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x14ac:dyDescent="0.3">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x14ac:dyDescent="0.3">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x14ac:dyDescent="0.3">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x14ac:dyDescent="0.3">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x14ac:dyDescent="0.3">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x14ac:dyDescent="0.3">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x14ac:dyDescent="0.3">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x14ac:dyDescent="0.3">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x14ac:dyDescent="0.3">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x14ac:dyDescent="0.3">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x14ac:dyDescent="0.3">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x14ac:dyDescent="0.3">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x14ac:dyDescent="0.3">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x14ac:dyDescent="0.3">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x14ac:dyDescent="0.3">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x14ac:dyDescent="0.3">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x14ac:dyDescent="0.3">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x14ac:dyDescent="0.3">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x14ac:dyDescent="0.3">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x14ac:dyDescent="0.3">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x14ac:dyDescent="0.3">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x14ac:dyDescent="0.3">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x14ac:dyDescent="0.3">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x14ac:dyDescent="0.3">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x14ac:dyDescent="0.3">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x14ac:dyDescent="0.3">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x14ac:dyDescent="0.3">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x14ac:dyDescent="0.3">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x14ac:dyDescent="0.3">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x14ac:dyDescent="0.3">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x14ac:dyDescent="0.3">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x14ac:dyDescent="0.3">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x14ac:dyDescent="0.3">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x14ac:dyDescent="0.3">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x14ac:dyDescent="0.3">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x14ac:dyDescent="0.3">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x14ac:dyDescent="0.3">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x14ac:dyDescent="0.3">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x14ac:dyDescent="0.3">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x14ac:dyDescent="0.3">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x14ac:dyDescent="0.3">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x14ac:dyDescent="0.3">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x14ac:dyDescent="0.3">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x14ac:dyDescent="0.3">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x14ac:dyDescent="0.3">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x14ac:dyDescent="0.3">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x14ac:dyDescent="0.3">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x14ac:dyDescent="0.3">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x14ac:dyDescent="0.3">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x14ac:dyDescent="0.3">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x14ac:dyDescent="0.3">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x14ac:dyDescent="0.3">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x14ac:dyDescent="0.3">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x14ac:dyDescent="0.3">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x14ac:dyDescent="0.3">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x14ac:dyDescent="0.3">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x14ac:dyDescent="0.3">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x14ac:dyDescent="0.3">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x14ac:dyDescent="0.3">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x14ac:dyDescent="0.3">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x14ac:dyDescent="0.3">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x14ac:dyDescent="0.3">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x14ac:dyDescent="0.3">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x14ac:dyDescent="0.3">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x14ac:dyDescent="0.3">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x14ac:dyDescent="0.3">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x14ac:dyDescent="0.3">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x14ac:dyDescent="0.3">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x14ac:dyDescent="0.3">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x14ac:dyDescent="0.3">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x14ac:dyDescent="0.3">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x14ac:dyDescent="0.3">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x14ac:dyDescent="0.3">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x14ac:dyDescent="0.3">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x14ac:dyDescent="0.3">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x14ac:dyDescent="0.3">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x14ac:dyDescent="0.3">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x14ac:dyDescent="0.3">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x14ac:dyDescent="0.3">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x14ac:dyDescent="0.3">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x14ac:dyDescent="0.3">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x14ac:dyDescent="0.3">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x14ac:dyDescent="0.3">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x14ac:dyDescent="0.3">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x14ac:dyDescent="0.3">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x14ac:dyDescent="0.3">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x14ac:dyDescent="0.3">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x14ac:dyDescent="0.3">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x14ac:dyDescent="0.3">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x14ac:dyDescent="0.3">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x14ac:dyDescent="0.3">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x14ac:dyDescent="0.3">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x14ac:dyDescent="0.3">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x14ac:dyDescent="0.3">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x14ac:dyDescent="0.3">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x14ac:dyDescent="0.3">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x14ac:dyDescent="0.3">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x14ac:dyDescent="0.3">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x14ac:dyDescent="0.3">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x14ac:dyDescent="0.3">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x14ac:dyDescent="0.3">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x14ac:dyDescent="0.3">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x14ac:dyDescent="0.3">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x14ac:dyDescent="0.3">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x14ac:dyDescent="0.3">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x14ac:dyDescent="0.3">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x14ac:dyDescent="0.3">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x14ac:dyDescent="0.3">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x14ac:dyDescent="0.3">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x14ac:dyDescent="0.3">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x14ac:dyDescent="0.3">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x14ac:dyDescent="0.3">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x14ac:dyDescent="0.3">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x14ac:dyDescent="0.3">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x14ac:dyDescent="0.3">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x14ac:dyDescent="0.3">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x14ac:dyDescent="0.3">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x14ac:dyDescent="0.3">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x14ac:dyDescent="0.3">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x14ac:dyDescent="0.3">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x14ac:dyDescent="0.3">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x14ac:dyDescent="0.3">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x14ac:dyDescent="0.3">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x14ac:dyDescent="0.3">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x14ac:dyDescent="0.3">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x14ac:dyDescent="0.3">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x14ac:dyDescent="0.3">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x14ac:dyDescent="0.3">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x14ac:dyDescent="0.3">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x14ac:dyDescent="0.3">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x14ac:dyDescent="0.3">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x14ac:dyDescent="0.3">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x14ac:dyDescent="0.3">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x14ac:dyDescent="0.3">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x14ac:dyDescent="0.3">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x14ac:dyDescent="0.3">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x14ac:dyDescent="0.3">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x14ac:dyDescent="0.3">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x14ac:dyDescent="0.3">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x14ac:dyDescent="0.3">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x14ac:dyDescent="0.3">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x14ac:dyDescent="0.3">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x14ac:dyDescent="0.3">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x14ac:dyDescent="0.3">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x14ac:dyDescent="0.3">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x14ac:dyDescent="0.3">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x14ac:dyDescent="0.3">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x14ac:dyDescent="0.3">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x14ac:dyDescent="0.3">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x14ac:dyDescent="0.3">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x14ac:dyDescent="0.3">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x14ac:dyDescent="0.3">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x14ac:dyDescent="0.3">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x14ac:dyDescent="0.3">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x14ac:dyDescent="0.3">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x14ac:dyDescent="0.3">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x14ac:dyDescent="0.3">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x14ac:dyDescent="0.3">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x14ac:dyDescent="0.3">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x14ac:dyDescent="0.3">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x14ac:dyDescent="0.3">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x14ac:dyDescent="0.3">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x14ac:dyDescent="0.3">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x14ac:dyDescent="0.3">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x14ac:dyDescent="0.3">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x14ac:dyDescent="0.3">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x14ac:dyDescent="0.3">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x14ac:dyDescent="0.3">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x14ac:dyDescent="0.3">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x14ac:dyDescent="0.3">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x14ac:dyDescent="0.3">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x14ac:dyDescent="0.3">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x14ac:dyDescent="0.3">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x14ac:dyDescent="0.3">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x14ac:dyDescent="0.3">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x14ac:dyDescent="0.3">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x14ac:dyDescent="0.3">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x14ac:dyDescent="0.3">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x14ac:dyDescent="0.3">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x14ac:dyDescent="0.3">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x14ac:dyDescent="0.3">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x14ac:dyDescent="0.3">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x14ac:dyDescent="0.3">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x14ac:dyDescent="0.3">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x14ac:dyDescent="0.3">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x14ac:dyDescent="0.3">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x14ac:dyDescent="0.3">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x14ac:dyDescent="0.3">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x14ac:dyDescent="0.3">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x14ac:dyDescent="0.3">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x14ac:dyDescent="0.3">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x14ac:dyDescent="0.3">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x14ac:dyDescent="0.3">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x14ac:dyDescent="0.3">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x14ac:dyDescent="0.3">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x14ac:dyDescent="0.3">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x14ac:dyDescent="0.3">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x14ac:dyDescent="0.3">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x14ac:dyDescent="0.3">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x14ac:dyDescent="0.3">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x14ac:dyDescent="0.3">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x14ac:dyDescent="0.3">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x14ac:dyDescent="0.3">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x14ac:dyDescent="0.3">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x14ac:dyDescent="0.3">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x14ac:dyDescent="0.3">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x14ac:dyDescent="0.3">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x14ac:dyDescent="0.3">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x14ac:dyDescent="0.3">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x14ac:dyDescent="0.3">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x14ac:dyDescent="0.3">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x14ac:dyDescent="0.3">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x14ac:dyDescent="0.3">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x14ac:dyDescent="0.3">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x14ac:dyDescent="0.3">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x14ac:dyDescent="0.3">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x14ac:dyDescent="0.3">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x14ac:dyDescent="0.3">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x14ac:dyDescent="0.3">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x14ac:dyDescent="0.3">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x14ac:dyDescent="0.3">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x14ac:dyDescent="0.3">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x14ac:dyDescent="0.3">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x14ac:dyDescent="0.3">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x14ac:dyDescent="0.3">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x14ac:dyDescent="0.3">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x14ac:dyDescent="0.3">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x14ac:dyDescent="0.3">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x14ac:dyDescent="0.3">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x14ac:dyDescent="0.3">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x14ac:dyDescent="0.3">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x14ac:dyDescent="0.3">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x14ac:dyDescent="0.3">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x14ac:dyDescent="0.3">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x14ac:dyDescent="0.3">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x14ac:dyDescent="0.3">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x14ac:dyDescent="0.3">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x14ac:dyDescent="0.3">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x14ac:dyDescent="0.3">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x14ac:dyDescent="0.3">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x14ac:dyDescent="0.3">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x14ac:dyDescent="0.3">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x14ac:dyDescent="0.3">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x14ac:dyDescent="0.3">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x14ac:dyDescent="0.3">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x14ac:dyDescent="0.3">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x14ac:dyDescent="0.3">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x14ac:dyDescent="0.3">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x14ac:dyDescent="0.3">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x14ac:dyDescent="0.3">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x14ac:dyDescent="0.3">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x14ac:dyDescent="0.3">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x14ac:dyDescent="0.3">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x14ac:dyDescent="0.3">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x14ac:dyDescent="0.3">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x14ac:dyDescent="0.3">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x14ac:dyDescent="0.3">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x14ac:dyDescent="0.3">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x14ac:dyDescent="0.3">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x14ac:dyDescent="0.3">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x14ac:dyDescent="0.3">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x14ac:dyDescent="0.3">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x14ac:dyDescent="0.3">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x14ac:dyDescent="0.3">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x14ac:dyDescent="0.3">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x14ac:dyDescent="0.3">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x14ac:dyDescent="0.3">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x14ac:dyDescent="0.3">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x14ac:dyDescent="0.3">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x14ac:dyDescent="0.3">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x14ac:dyDescent="0.3">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x14ac:dyDescent="0.3">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x14ac:dyDescent="0.3">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x14ac:dyDescent="0.3">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x14ac:dyDescent="0.3">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x14ac:dyDescent="0.3">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x14ac:dyDescent="0.3">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x14ac:dyDescent="0.3">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x14ac:dyDescent="0.3">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x14ac:dyDescent="0.3">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x14ac:dyDescent="0.3">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x14ac:dyDescent="0.3">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x14ac:dyDescent="0.3">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x14ac:dyDescent="0.3">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x14ac:dyDescent="0.3">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8A2E9-1611-49DB-B7A1-1FFC696F1969}">
  <dimension ref="A1"/>
  <sheetViews>
    <sheetView showGridLines="0" tabSelected="1" topLeftCell="B5" zoomScale="92" zoomScaleNormal="100" workbookViewId="0">
      <selection activeCell="AB30" sqref="AB30"/>
    </sheetView>
  </sheetViews>
  <sheetFormatPr defaultRowHeight="15.6" x14ac:dyDescent="0.3"/>
  <cols>
    <col min="1" max="1" width="8.796875" style="4"/>
    <col min="2" max="2" width="9.296875" style="4" customWidth="1"/>
    <col min="3" max="16384" width="8.796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vt:lpstr>
      <vt:lpstr>Rating</vt:lpstr>
      <vt:lpstr>Gender</vt:lpstr>
      <vt:lpstr>Education wise Attrition</vt:lpstr>
      <vt:lpstr>Attrition by Job</vt:lpstr>
      <vt:lpstr>Department wise attrition</vt:lpstr>
      <vt:lpstr>Attrition by Age Group</vt:lpstr>
      <vt:lpstr>Marital Status</vt:lpstr>
      <vt:lpstr>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arunlaxane123@gmail.com</cp:lastModifiedBy>
  <dcterms:created xsi:type="dcterms:W3CDTF">2022-12-29T16:02:46Z</dcterms:created>
  <dcterms:modified xsi:type="dcterms:W3CDTF">2026-06-27T15:27:10Z</dcterms:modified>
</cp:coreProperties>
</file>