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5b0ca70cee8c227/Desktop/sanjana  projects/"/>
    </mc:Choice>
  </mc:AlternateContent>
  <xr:revisionPtr revIDLastSave="8" documentId="8_{116E8FBE-B407-4EFE-97AD-AC2174A87F47}" xr6:coauthVersionLast="47" xr6:coauthVersionMax="47" xr10:uidLastSave="{9A4AB653-F433-4A51-BB7B-E11F2591686C}"/>
  <bookViews>
    <workbookView xWindow="-108" yWindow="-108" windowWidth="23256" windowHeight="12456" activeTab="3" xr2:uid="{00000000-000D-0000-FFFF-FFFF00000000}"/>
  </bookViews>
  <sheets>
    <sheet name="KPI" sheetId="7" r:id="rId1"/>
    <sheet name="Rating" sheetId="12" r:id="rId2"/>
    <sheet name="Gender" sheetId="13" r:id="rId3"/>
    <sheet name="Education wise Attrition" sheetId="14" r:id="rId4"/>
    <sheet name="Attrition by Job" sheetId="15" r:id="rId5"/>
    <sheet name="Department wise attrition" sheetId="16" r:id="rId6"/>
    <sheet name="Attrition by Age Group" sheetId="17" r:id="rId7"/>
    <sheet name="Marital Status" sheetId="18" r:id="rId8"/>
    <sheet name="Data" sheetId="1" r:id="rId9"/>
    <sheet name="Dashboard" sheetId="11"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4" i="18" l="1"/>
  <c r="D5" i="18"/>
  <c r="D6" i="18"/>
  <c r="D5" i="15"/>
  <c r="D6" i="15"/>
  <c r="D7" i="15"/>
  <c r="D8" i="15"/>
  <c r="D9" i="15"/>
  <c r="D10" i="15"/>
  <c r="D11" i="15"/>
  <c r="D12" i="15"/>
  <c r="D4" i="15"/>
  <c r="E6" i="15"/>
  <c r="B12" i="13"/>
  <c r="B11" i="13"/>
  <c r="A8" i="7"/>
  <c r="E4" i="15"/>
  <c r="E7" i="15"/>
  <c r="B8" i="7"/>
  <c r="E10" i="15"/>
  <c r="E11" i="15"/>
  <c r="B6" i="12"/>
  <c r="E8" i="15"/>
  <c r="C8" i="7"/>
  <c r="E9" i="15"/>
  <c r="E12" i="15"/>
  <c r="E5" i="15"/>
  <c r="E4" i="18"/>
  <c r="E5" i="18"/>
  <c r="E6" i="18"/>
  <c r="C12" i="13" l="1"/>
  <c r="C11" i="13"/>
  <c r="C6" i="12"/>
  <c r="B7" i="12"/>
  <c r="C7" i="12" s="1"/>
  <c r="D8" i="7"/>
  <c r="E8" i="7"/>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<sst xmlns="http://schemas.openxmlformats.org/spreadsheetml/2006/main" count="19216" uniqueCount="1571">
  <si>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</si>
  <si>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</si>
  <si>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</si>
  <si>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</si>
  <si>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</si>
  <si>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</si>
  <si>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</si>
  <si>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</si>
  <si>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</si>
  <si>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</si>
  <si>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</si>
  <si>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</si>
  <si>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</si>
  <si>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</si>
  <si>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</si>
  <si>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</si>
  <si>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</si>
  <si>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</si>
  <si>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</si>
  <si>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</si>
  <si>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</si>
  <si>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</si>
  <si>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</si>
  <si>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</si>
  <si>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</si>
  <si>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</si>
  <si>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</si>
  <si>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</si>
  <si>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</si>
  <si>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</si>
  <si>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</si>
  <si>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</si>
  <si>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</si>
  <si>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</si>
  <si>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</si>
  <si>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</si>
  <si>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</si>
  <si>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</si>
  <si>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</si>
  <si>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</si>
  <si>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</si>
  <si>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</si>
  <si>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</si>
  <si>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</si>
  <si>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</si>
  <si>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</si>
  <si>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</si>
  <si>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</si>
  <si>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</si>
  <si>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</si>
  <si>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</si>
  <si>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</si>
  <si>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</si>
  <si>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</si>
  <si>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</si>
  <si>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</si>
  <si>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</si>
  <si>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</si>
  <si>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</si>
  <si>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</si>
  <si>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</si>
  <si>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</si>
  <si>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</si>
  <si>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</si>
  <si>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</si>
  <si>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</si>
  <si>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</si>
  <si>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</si>
  <si>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</si>
  <si>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</si>
  <si>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</si>
  <si>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</si>
  <si>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</si>
  <si>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</si>
  <si>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</si>
  <si>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</si>
  <si>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</si>
  <si>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</si>
  <si>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</si>
  <si>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</si>
  <si>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</si>
  <si>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</si>
  <si>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</si>
  <si>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</si>
  <si>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</si>
  <si>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</si>
  <si>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</si>
  <si>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</si>
  <si>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</si>
  <si>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</si>
  <si>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</si>
  <si>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</si>
  <si>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</si>
  <si>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</si>
  <si>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</si>
  <si>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</si>
  <si>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</si>
  <si>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</si>
  <si>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</si>
  <si>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</si>
  <si>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</si>
  <si>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</si>
  <si>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</si>
  <si>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</si>
  <si>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</si>
  <si>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</si>
  <si>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</si>
  <si>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</si>
  <si>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</si>
  <si>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</si>
  <si>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</si>
  <si>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</si>
  <si>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</si>
  <si>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</si>
  <si>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</si>
  <si>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</si>
  <si>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</si>
  <si>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</si>
  <si>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</si>
  <si>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</si>
  <si>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</si>
  <si>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</si>
  <si>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</si>
  <si>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</si>
  <si>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</si>
  <si>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</si>
  <si>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</si>
  <si>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</si>
  <si>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</si>
  <si>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</si>
  <si>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</si>
  <si>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</si>
  <si>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</si>
  <si>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</si>
  <si>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</si>
  <si>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</si>
  <si>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</si>
  <si>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</si>
  <si>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</si>
  <si>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</si>
  <si>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</si>
  <si>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</si>
  <si>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</si>
  <si>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</si>
  <si>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</si>
  <si>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</si>
  <si>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</si>
  <si>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</si>
  <si>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</si>
  <si>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</si>
  <si>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</si>
  <si>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</si>
  <si>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</si>
  <si>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</si>
  <si>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</si>
  <si>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</si>
  <si>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</si>
  <si>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</si>
  <si>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</si>
  <si>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</si>
  <si>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</si>
  <si>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</si>
  <si>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</si>
  <si>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</si>
  <si>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</si>
  <si>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</si>
  <si>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</si>
  <si>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</si>
  <si>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</si>
  <si>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</si>
  <si>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</si>
  <si>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</si>
  <si>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</si>
  <si>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</si>
  <si>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</si>
  <si>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</si>
  <si>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</si>
  <si>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</si>
  <si>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</si>
  <si>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</si>
  <si>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</si>
  <si>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</si>
  <si>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</si>
  <si>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</si>
  <si>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</si>
  <si>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</si>
  <si>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</si>
  <si>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</si>
  <si>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</si>
  <si>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</si>
  <si>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</si>
  <si>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</si>
  <si>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</si>
  <si>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</si>
  <si>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</si>
  <si>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</si>
  <si>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</si>
  <si>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</si>
  <si>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</si>
  <si>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</si>
  <si>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</si>
  <si>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</si>
  <si>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</si>
  <si>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</si>
  <si>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</si>
  <si>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</si>
  <si>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</si>
  <si>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</si>
  <si>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</si>
  <si>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</si>
  <si>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</si>
  <si>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</si>
  <si>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</si>
  <si>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</si>
  <si>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</si>
  <si>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</si>
  <si>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</si>
  <si>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</si>
  <si>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</si>
  <si>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</si>
  <si>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</si>
  <si>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</si>
  <si>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</si>
  <si>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</si>
  <si>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</si>
  <si>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</si>
  <si>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</si>
  <si>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</si>
  <si>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</si>
  <si>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</si>
  <si>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</si>
  <si>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</si>
  <si>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</si>
  <si>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</si>
  <si>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</si>
  <si>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</si>
  <si>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</si>
  <si>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</si>
  <si>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</si>
  <si>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</si>
  <si>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</si>
  <si>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</si>
  <si>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</si>
  <si>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</si>
  <si>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</si>
  <si>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</si>
  <si>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</si>
  <si>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</si>
  <si>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</si>
  <si>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</si>
  <si>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</si>
  <si>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</si>
  <si>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</si>
  <si>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</si>
  <si>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</si>
  <si>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</si>
  <si>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</si>
  <si>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</si>
  <si>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</si>
  <si>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</si>
  <si>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</si>
  <si>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</si>
  <si>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</si>
  <si>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</si>
  <si>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</si>
  <si>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</si>
  <si>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</si>
  <si>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</si>
  <si>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</si>
  <si>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</si>
  <si>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</si>
  <si>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</si>
  <si>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</si>
  <si>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</si>
  <si>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</si>
  <si>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</si>
  <si>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</si>
  <si>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</si>
  <si>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</si>
  <si>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</si>
  <si>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</si>
  <si>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</si>
  <si>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</si>
  <si>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</si>
  <si>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</si>
  <si>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</si>
  <si>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</si>
  <si>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</si>
  <si>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</si>
  <si>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</si>
  <si>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</si>
  <si>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</si>
  <si>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</si>
  <si>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</si>
  <si>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</si>
  <si>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</si>
  <si>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</si>
  <si>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</si>
  <si>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</si>
  <si>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</si>
  <si>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</si>
  <si>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</si>
  <si>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</si>
  <si>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</si>
  <si>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</si>
  <si>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</si>
  <si>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</si>
  <si>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</si>
  <si>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</si>
  <si>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</si>
  <si>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</si>
  <si>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</si>
  <si>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</si>
  <si>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</si>
  <si>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</si>
  <si>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</si>
  <si>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</si>
  <si>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</si>
  <si>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</si>
  <si>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</si>
  <si>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</si>
  <si>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</si>
  <si>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</si>
  <si>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</si>
  <si>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</si>
  <si>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</si>
  <si>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</si>
  <si>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</si>
  <si>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</si>
  <si>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</si>
  <si>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</si>
  <si>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</si>
  <si>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</si>
  <si>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</si>
  <si>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</si>
  <si>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</si>
  <si>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</si>
  <si>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</si>
  <si>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</si>
  <si>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</si>
  <si>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</si>
  <si>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</si>
  <si>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</si>
  <si>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</si>
  <si>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</si>
  <si>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</si>
  <si>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</si>
  <si>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</si>
  <si>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</si>
  <si>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</si>
  <si>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</si>
  <si>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</si>
  <si>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</si>
  <si>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</si>
  <si>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</si>
  <si>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</si>
  <si>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</si>
  <si>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</si>
  <si>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</si>
  <si>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</si>
  <si>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</si>
  <si>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</si>
  <si>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</si>
  <si>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</si>
  <si>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</si>
  <si>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</si>
  <si>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</si>
  <si>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</si>
  <si>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</si>
  <si>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</si>
  <si>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</si>
  <si>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</si>
  <si>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</si>
  <si>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</si>
  <si>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</si>
  <si>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</si>
  <si>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</si>
  <si>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</si>
  <si>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</si>
  <si>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</si>
  <si>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</si>
  <si>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</si>
  <si>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</si>
  <si>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</si>
  <si>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</si>
  <si>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</si>
  <si>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</si>
  <si>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</si>
  <si>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</si>
  <si>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</si>
  <si>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</si>
  <si>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</si>
  <si>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</si>
  <si>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</si>
  <si>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</si>
  <si>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</si>
  <si>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</si>
  <si>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</si>
  <si>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</si>
  <si>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</si>
  <si>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</si>
  <si>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</si>
  <si>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</si>
  <si>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</si>
  <si>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</si>
  <si>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</si>
  <si>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</si>
  <si>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</si>
  <si>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</si>
  <si>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</si>
  <si>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</si>
  <si>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</si>
  <si>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</si>
  <si>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</si>
  <si>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</si>
  <si>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</si>
  <si>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</si>
  <si>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</si>
  <si>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</si>
  <si>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</si>
  <si>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</si>
  <si>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</si>
  <si>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</si>
  <si>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</si>
  <si>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</si>
  <si>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</si>
  <si>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</si>
  <si>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</si>
  <si>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</si>
  <si>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</si>
  <si>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</si>
  <si>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</si>
  <si>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</si>
  <si>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</si>
  <si>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</si>
  <si>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</si>
  <si>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</si>
  <si>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</si>
  <si>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</si>
  <si>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</si>
  <si>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</si>
  <si>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</si>
  <si>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</si>
  <si>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</si>
  <si>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</si>
  <si>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</si>
  <si>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</si>
  <si>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</si>
  <si>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</si>
  <si>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</si>
  <si>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</si>
  <si>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</si>
  <si>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</si>
  <si>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</si>
  <si>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</si>
  <si>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</si>
  <si>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</si>
  <si>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</si>
  <si>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</si>
  <si>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</si>
  <si>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</si>
  <si>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</si>
  <si>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</si>
  <si>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</si>
  <si>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</si>
  <si>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</si>
  <si>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</si>
  <si>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</si>
  <si>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</si>
  <si>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</si>
  <si>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</si>
  <si>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</si>
  <si>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</si>
  <si>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</si>
  <si>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</si>
  <si>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</si>
  <si>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</si>
  <si>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</si>
  <si>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</si>
  <si>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</si>
  <si>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</si>
  <si>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</si>
  <si>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</si>
  <si>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</si>
  <si>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</si>
  <si>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</si>
  <si>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</si>
  <si>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</si>
  <si>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</si>
  <si>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</si>
  <si>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</si>
  <si>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</si>
  <si>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</si>
  <si>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</si>
  <si>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</si>
  <si>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</si>
  <si>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</si>
  <si>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</si>
  <si>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</si>
  <si>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</si>
  <si>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</si>
  <si>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</si>
  <si>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</si>
  <si>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</si>
  <si>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</si>
  <si>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</si>
  <si>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</si>
  <si>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</si>
  <si>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</si>
  <si>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</si>
  <si>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</si>
  <si>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</si>
  <si>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</si>
  <si>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</si>
  <si>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</si>
  <si>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</si>
  <si>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</si>
  <si>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</si>
  <si>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</si>
  <si>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</si>
  <si>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</si>
  <si>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</si>
  <si>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</si>
  <si>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</si>
  <si>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</si>
  <si>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</si>
  <si>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</si>
  <si>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</si>
  <si>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</si>
  <si>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</si>
  <si>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</si>
  <si>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</si>
  <si>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</si>
  <si>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</si>
  <si>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</si>
  <si>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</si>
  <si>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</si>
  <si>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</si>
  <si>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</si>
  <si>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</si>
  <si>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</si>
  <si>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</si>
  <si>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</si>
  <si>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</si>
  <si>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</si>
  <si>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</si>
  <si>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</si>
  <si>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</si>
  <si>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</si>
  <si>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</si>
  <si>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</si>
  <si>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</si>
  <si>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</si>
  <si>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</si>
  <si>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</si>
  <si>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</si>
  <si>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</si>
  <si>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</si>
  <si>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</si>
  <si>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</si>
  <si>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</si>
  <si>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</si>
  <si>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</si>
  <si>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</si>
  <si>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</si>
  <si>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</si>
  <si>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</si>
  <si>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</si>
  <si>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</si>
  <si>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</si>
  <si>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</si>
  <si>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</si>
  <si>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</si>
  <si>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</si>
  <si>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</si>
  <si>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</si>
  <si>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</si>
  <si>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</si>
  <si>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</si>
  <si>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</si>
  <si>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</si>
  <si>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</si>
  <si>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</si>
  <si>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</si>
  <si>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</si>
  <si>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</si>
  <si>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</si>
  <si>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</si>
  <si>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</si>
  <si>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</si>
  <si>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</si>
  <si>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</si>
  <si>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</si>
  <si>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</si>
  <si>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</si>
  <si>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</si>
  <si>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</si>
  <si>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</si>
  <si>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</si>
  <si>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</si>
  <si>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</si>
  <si>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</si>
  <si>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</si>
  <si>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</si>
  <si>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</si>
  <si>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</si>
  <si>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</si>
  <si>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</si>
  <si>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</si>
  <si>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</si>
  <si>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</si>
  <si>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</si>
  <si>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</si>
  <si>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</si>
  <si>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</si>
  <si>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</si>
  <si>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</si>
  <si>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</si>
  <si>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</si>
  <si>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</si>
  <si>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</si>
  <si>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</si>
  <si>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</si>
  <si>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</si>
  <si>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</si>
  <si>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</si>
  <si>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</si>
  <si>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</si>
  <si>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</si>
  <si>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</si>
  <si>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</si>
  <si>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</si>
  <si>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</si>
  <si>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</si>
  <si>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</si>
  <si>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</si>
  <si>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</si>
  <si>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</si>
  <si>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</si>
  <si>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</si>
  <si>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</si>
  <si>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</si>
  <si>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</si>
  <si>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</si>
  <si>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</si>
  <si>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</si>
  <si>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</si>
  <si>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</si>
  <si>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</si>
  <si>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</si>
  <si>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</si>
  <si>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</si>
  <si>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</si>
  <si>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</si>
  <si>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</si>
  <si>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</si>
  <si>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</si>
  <si>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</si>
  <si>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</si>
  <si>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</si>
  <si>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</si>
  <si>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</si>
  <si>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</si>
  <si>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</si>
  <si>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</si>
  <si>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</si>
  <si>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</si>
  <si>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</si>
  <si>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</si>
  <si>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</si>
  <si>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</si>
  <si>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</si>
  <si>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</si>
  <si>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</si>
  <si>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</si>
  <si>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</si>
  <si>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</si>
  <si>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</si>
  <si>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</si>
  <si>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</si>
  <si>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</si>
  <si>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</si>
  <si>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</si>
  <si>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</si>
  <si>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</si>
  <si>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</si>
  <si>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</si>
  <si>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</si>
  <si>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</si>
  <si>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</si>
  <si>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</si>
  <si>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</si>
  <si>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</si>
  <si>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</si>
  <si>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</si>
  <si>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</si>
  <si>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</si>
  <si>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</si>
  <si>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</si>
  <si>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</si>
  <si>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</si>
  <si>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</si>
  <si>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</si>
  <si>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</si>
  <si>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</si>
  <si>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</si>
  <si>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</si>
  <si>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</si>
  <si>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</si>
  <si>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</si>
  <si>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</si>
  <si>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</si>
  <si>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</si>
  <si>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</si>
  <si>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</si>
  <si>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</si>
  <si>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</si>
  <si>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</si>
  <si>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</si>
  <si>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</si>
  <si>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</si>
  <si>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</si>
  <si>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</si>
  <si>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</si>
  <si>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</si>
  <si>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</si>
  <si>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</si>
  <si>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</si>
  <si>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</si>
  <si>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</si>
  <si>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</si>
  <si>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</si>
  <si>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</si>
  <si>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</si>
  <si>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</si>
  <si>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</si>
  <si>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</si>
  <si>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</si>
  <si>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</si>
  <si>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</si>
  <si>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</si>
  <si>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</si>
  <si>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</si>
  <si>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</si>
  <si>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</si>
  <si>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</si>
  <si>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</si>
  <si>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</si>
  <si>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</si>
  <si>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</si>
  <si>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</si>
  <si>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</si>
  <si>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</si>
  <si>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</si>
  <si>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</si>
  <si>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</si>
  <si>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</si>
  <si>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</si>
  <si>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</si>
  <si>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</si>
  <si>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</si>
  <si>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</si>
  <si>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</si>
  <si>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</si>
  <si>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</si>
  <si>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</si>
  <si>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</si>
  <si>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</si>
  <si>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</si>
  <si>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</si>
  <si>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</si>
  <si>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</si>
  <si>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</si>
  <si>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</si>
  <si>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</si>
  <si>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</si>
  <si>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</si>
  <si>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</si>
  <si>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</si>
  <si>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</si>
  <si>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</si>
  <si>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</si>
  <si>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</si>
  <si>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</si>
  <si>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</si>
  <si>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</si>
  <si>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</si>
  <si>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</si>
  <si>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</si>
  <si>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</si>
  <si>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</si>
  <si>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</si>
  <si>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</si>
  <si>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</si>
  <si>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</si>
  <si>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</si>
  <si>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</si>
  <si>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</si>
  <si>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</si>
  <si>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</si>
  <si>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</si>
  <si>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</si>
  <si>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</si>
  <si>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</si>
  <si>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</si>
  <si>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</si>
  <si>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</si>
  <si>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</si>
  <si>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</si>
  <si>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</si>
  <si>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</si>
  <si>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</si>
  <si>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</si>
  <si>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</si>
  <si>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</si>
  <si>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</si>
  <si>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</si>
  <si>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</si>
  <si>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</si>
  <si>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</si>
  <si>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</si>
  <si>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</si>
  <si>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</si>
  <si>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</si>
  <si>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</si>
  <si>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</si>
  <si>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</si>
  <si>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</si>
  <si>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</si>
  <si>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</si>
  <si>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</si>
  <si>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</si>
  <si>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</si>
  <si>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</si>
  <si>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</si>
  <si>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</si>
  <si>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</si>
  <si>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</si>
  <si>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</si>
  <si>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</si>
  <si>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</si>
  <si>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</si>
  <si>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</si>
  <si>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</si>
  <si>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</si>
  <si>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</si>
  <si>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</si>
  <si>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</si>
  <si>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</si>
  <si>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</si>
  <si>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</si>
  <si>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</si>
  <si>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</si>
  <si>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</si>
  <si>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</si>
  <si>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</si>
  <si>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</si>
  <si>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</si>
  <si>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</si>
  <si>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</si>
  <si>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</si>
  <si>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</si>
  <si>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</si>
  <si>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</si>
  <si>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</si>
  <si>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</si>
  <si>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</si>
  <si>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</si>
  <si>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</si>
  <si>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</si>
  <si>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</si>
  <si>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</si>
  <si>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</si>
  <si>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</si>
  <si>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</si>
  <si>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</si>
  <si>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</si>
  <si>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</si>
  <si>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</si>
  <si>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</si>
  <si>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</si>
  <si>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</si>
  <si>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</si>
  <si>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</si>
  <si>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</si>
  <si>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</si>
  <si>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</si>
  <si>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</si>
  <si>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</si>
  <si>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</si>
  <si>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</si>
  <si>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</si>
  <si>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</si>
  <si>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</si>
  <si>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</si>
  <si>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</si>
  <si>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</si>
  <si>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</si>
  <si>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</si>
  <si>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</si>
  <si>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</si>
  <si>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</si>
  <si>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</si>
  <si>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</si>
  <si>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</si>
  <si>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</si>
  <si>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</si>
  <si>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</si>
  <si>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</si>
  <si>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</si>
  <si>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</si>
  <si>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</si>
  <si>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</si>
  <si>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</si>
  <si>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</si>
  <si>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</si>
  <si>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</si>
  <si>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</si>
  <si>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</si>
  <si>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</si>
  <si>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</si>
  <si>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</si>
  <si>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</si>
  <si>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</si>
  <si>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</si>
  <si>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</si>
  <si>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</si>
  <si>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</si>
  <si>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</si>
  <si>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</si>
  <si>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</si>
  <si>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</si>
  <si>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</si>
  <si>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</si>
  <si>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</si>
  <si>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</si>
  <si>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</si>
  <si>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</si>
  <si>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</si>
  <si>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</si>
  <si>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</si>
  <si>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</si>
  <si>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</si>
  <si>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</si>
  <si>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</si>
  <si>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</si>
  <si>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</si>
  <si>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</si>
  <si>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</si>
  <si>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</si>
  <si>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</si>
  <si>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</si>
  <si>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</si>
  <si>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</si>
  <si>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</si>
  <si>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</si>
  <si>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</si>
  <si>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</si>
  <si>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</si>
  <si>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</si>
  <si>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</si>
  <si>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</si>
  <si>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</si>
  <si>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</si>
  <si>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</si>
  <si>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</si>
  <si>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</si>
  <si>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</si>
  <si>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</si>
  <si>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</si>
  <si>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</si>
  <si>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</si>
  <si>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</si>
  <si>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</si>
  <si>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</si>
  <si>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</si>
  <si>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</si>
  <si>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</si>
  <si>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</si>
  <si>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</si>
  <si>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</si>
  <si>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</si>
  <si>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</si>
  <si>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</si>
  <si>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</si>
  <si>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</si>
  <si>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</si>
  <si>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</si>
  <si>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</si>
  <si>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</si>
  <si>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</si>
  <si>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</si>
  <si>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</si>
  <si>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</si>
  <si>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</si>
  <si>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</si>
  <si>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</si>
  <si>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</si>
  <si>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</si>
  <si>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</si>
  <si>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</si>
  <si>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</si>
  <si>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</si>
  <si>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</si>
  <si>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</si>
  <si>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</si>
  <si>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</si>
  <si>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</si>
  <si>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</si>
  <si>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</si>
  <si>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</si>
  <si>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</si>
  <si>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</si>
  <si>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</si>
  <si>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</si>
  <si>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</si>
  <si>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</si>
  <si>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</si>
  <si>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</si>
  <si>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</si>
  <si>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</si>
  <si>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</si>
  <si>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</si>
  <si>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</si>
  <si>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</si>
  <si>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</si>
  <si>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</si>
  <si>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</si>
  <si>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</si>
  <si>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</si>
  <si>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</si>
  <si>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</si>
  <si>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</si>
  <si>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</si>
  <si>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</si>
  <si>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</si>
  <si>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</si>
  <si>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</si>
  <si>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</si>
  <si>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</si>
  <si>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</si>
  <si>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</si>
  <si>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</si>
  <si>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</si>
  <si>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</si>
  <si>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</si>
  <si>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</si>
  <si>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</si>
  <si>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</si>
  <si>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</si>
  <si>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</si>
  <si>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</si>
  <si>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</si>
  <si>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</si>
  <si>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</si>
  <si>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</si>
  <si>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</si>
  <si>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</si>
  <si>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</si>
  <si>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</si>
  <si>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</si>
  <si>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</si>
  <si>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</si>
  <si>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</si>
  <si>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</si>
  <si>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</si>
  <si>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</si>
  <si>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</si>
  <si>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</si>
  <si>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</si>
  <si>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</si>
  <si>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</si>
  <si>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</si>
  <si>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</si>
  <si>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</si>
  <si>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</si>
  <si>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</si>
  <si>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</si>
  <si>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</si>
  <si>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</si>
  <si>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</si>
  <si>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</si>
  <si>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</si>
  <si>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</si>
  <si>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</si>
  <si>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</si>
  <si>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</si>
  <si>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</si>
  <si>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</si>
  <si>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</si>
  <si>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</si>
  <si>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</si>
  <si>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</si>
  <si>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</si>
  <si>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</si>
  <si>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</si>
  <si>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</si>
  <si>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</si>
  <si>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</si>
  <si>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</si>
  <si>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</si>
  <si>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</si>
  <si>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</si>
  <si>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</si>
  <si>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</si>
  <si>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</si>
  <si>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</si>
  <si>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</si>
  <si>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</si>
  <si>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</si>
  <si>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</si>
  <si>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</si>
  <si>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</si>
  <si>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</si>
  <si>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</si>
  <si>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</si>
  <si>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</si>
  <si>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</si>
  <si>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</si>
  <si>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</si>
  <si>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</si>
  <si>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</si>
  <si>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</si>
  <si>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</si>
  <si>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</si>
  <si>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</si>
  <si>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</si>
  <si>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</si>
  <si>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</si>
  <si>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</si>
  <si>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</si>
  <si>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</si>
  <si>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</si>
  <si>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</si>
  <si>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</si>
  <si>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</si>
  <si>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</si>
  <si>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</si>
  <si>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</si>
  <si>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</si>
  <si>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</si>
  <si>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</si>
  <si>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</si>
  <si>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</si>
  <si>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</si>
  <si>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</si>
  <si>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</si>
  <si>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</si>
  <si>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</si>
  <si>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</si>
  <si>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</si>
  <si>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</si>
  <si>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</si>
  <si>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</si>
  <si>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</si>
  <si>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</si>
  <si>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</si>
  <si>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</si>
  <si>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</si>
  <si>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</si>
  <si>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</si>
  <si>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</si>
  <si>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</si>
  <si>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</si>
  <si>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</si>
  <si>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</si>
  <si>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</si>
  <si>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</si>
  <si>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</si>
  <si>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</si>
  <si>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</si>
  <si>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</si>
  <si>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</si>
  <si>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</si>
  <si>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</si>
  <si>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</si>
  <si>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</si>
  <si>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</si>
  <si>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</si>
  <si>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</si>
  <si>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</si>
  <si>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</si>
  <si>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</si>
  <si>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</si>
  <si>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</si>
  <si>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</si>
  <si>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</si>
  <si>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</si>
  <si>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</si>
  <si>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</si>
  <si>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</si>
  <si>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</si>
  <si>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</si>
  <si>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</si>
  <si>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</si>
  <si>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</si>
  <si>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</si>
  <si>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</si>
  <si>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</si>
  <si>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</si>
  <si>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</si>
  <si>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</si>
  <si>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</si>
  <si>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</si>
  <si>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</si>
  <si>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</si>
  <si>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</si>
  <si>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</si>
  <si>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</si>
  <si>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</si>
  <si>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</si>
  <si>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</si>
  <si>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</si>
  <si>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</si>
  <si>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</si>
  <si>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</si>
  <si>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</si>
  <si>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</si>
  <si>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</si>
  <si>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</si>
  <si>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</si>
  <si>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</si>
  <si>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</si>
  <si>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</si>
  <si>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</si>
  <si>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</si>
  <si>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</si>
  <si>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</si>
  <si>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</si>
  <si>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</si>
  <si>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</si>
  <si>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</si>
  <si>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</si>
  <si>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</si>
  <si>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</si>
  <si>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</si>
  <si>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</si>
  <si>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</si>
  <si>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</si>
  <si>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</si>
  <si>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</si>
  <si>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</si>
  <si>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</si>
  <si>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</si>
  <si>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</si>
  <si>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</si>
  <si>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</si>
  <si>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</si>
  <si>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</si>
  <si>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</si>
  <si>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</si>
  <si>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</si>
  <si>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</si>
  <si>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</si>
  <si>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</si>
  <si>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</si>
  <si>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</si>
  <si>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</si>
  <si>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</si>
  <si>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</si>
  <si>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</si>
  <si>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</si>
  <si>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</si>
  <si>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</si>
  <si>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</si>
  <si>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</si>
  <si>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</si>
  <si>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</si>
  <si>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</si>
  <si>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</si>
  <si>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</si>
  <si>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</si>
  <si>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</si>
  <si>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</si>
  <si>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</si>
  <si>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</si>
  <si>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</si>
  <si>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</si>
  <si>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</si>
  <si>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</si>
  <si>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</si>
  <si>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</si>
  <si>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</si>
  <si>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</si>
  <si>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</si>
  <si>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</si>
  <si>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</si>
  <si>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</si>
  <si>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</si>
  <si>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</si>
  <si>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</si>
  <si>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</si>
  <si>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</si>
  <si>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</si>
  <si>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</si>
  <si>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</si>
  <si>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</si>
  <si>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</si>
  <si>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</si>
  <si>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</si>
  <si>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</si>
  <si>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</si>
  <si>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</si>
  <si>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</si>
  <si>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</si>
  <si>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</si>
  <si>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</si>
  <si>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</si>
  <si>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</si>
  <si>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</si>
  <si>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</si>
  <si>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</si>
  <si>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</si>
  <si>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</si>
  <si>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</si>
  <si>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</si>
  <si>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</si>
  <si>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</si>
  <si>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</si>
  <si>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</si>
  <si>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</si>
  <si>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</si>
  <si>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</si>
  <si>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</si>
  <si>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</si>
  <si>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</si>
  <si>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</si>
  <si>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</si>
  <si>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</si>
  <si>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</si>
  <si>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</si>
  <si>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</si>
  <si>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</si>
  <si>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</si>
  <si>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</si>
  <si>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</si>
  <si>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</si>
  <si>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</si>
  <si>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</si>
  <si>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</si>
  <si>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</si>
  <si>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</si>
  <si>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</si>
  <si>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</si>
  <si>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</si>
  <si>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</si>
  <si>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</si>
  <si>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</si>
  <si>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</si>
  <si>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</si>
  <si>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</si>
  <si>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</si>
  <si>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</si>
  <si>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</si>
  <si>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</si>
  <si>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</si>
  <si>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</si>
  <si>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</si>
  <si>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</si>
  <si>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</si>
  <si>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</si>
  <si>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</si>
  <si>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</si>
  <si>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</si>
  <si>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</si>
  <si>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</si>
  <si>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</si>
  <si>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</si>
  <si>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</si>
  <si>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</si>
  <si>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</si>
  <si>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</si>
  <si>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</si>
  <si>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</si>
  <si>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</si>
  <si>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</si>
  <si>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</si>
  <si>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</si>
  <si>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</si>
  <si>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</si>
  <si>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</si>
  <si>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</si>
  <si>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</si>
  <si>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</si>
  <si>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</si>
  <si>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</si>
  <si>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</si>
  <si>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</si>
  <si>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</si>
  <si>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</si>
  <si>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</si>
  <si>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</si>
  <si>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</si>
  <si>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</si>
  <si>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</si>
  <si>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</si>
  <si>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</si>
  <si>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</si>
  <si>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</si>
  <si>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</si>
  <si>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</si>
  <si>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</si>
  <si>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</si>
  <si>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</si>
  <si>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</si>
  <si>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</si>
  <si>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</si>
  <si>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</si>
  <si>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</si>
  <si>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</si>
  <si>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</si>
  <si>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</si>
  <si>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</si>
  <si>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</si>
  <si>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</si>
  <si>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</si>
  <si>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</si>
  <si>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</si>
  <si>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</si>
  <si>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</si>
  <si>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</si>
  <si>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</si>
  <si>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</si>
  <si>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</si>
  <si>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</si>
  <si>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</si>
  <si>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</si>
  <si>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</si>
  <si>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</si>
  <si>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</si>
  <si>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</si>
  <si>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</si>
  <si>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</si>
  <si>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</si>
  <si>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</si>
  <si>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</si>
  <si>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</si>
  <si>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</si>
  <si>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</si>
  <si>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</si>
  <si>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</si>
  <si>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</si>
  <si>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</si>
  <si>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</si>
  <si>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</si>
  <si>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</si>
  <si>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</si>
  <si>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</si>
  <si>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</si>
  <si>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</si>
  <si>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</si>
  <si>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</si>
  <si>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</si>
  <si>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</si>
  <si>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</si>
  <si>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</si>
  <si>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</si>
  <si>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</si>
  <si>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</si>
  <si>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</si>
  <si>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</si>
  <si>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</si>
  <si>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</si>
  <si>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</si>
  <si>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</si>
  <si>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</si>
  <si>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</si>
  <si>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</si>
  <si>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</si>
  <si>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</si>
  <si>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</si>
  <si>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</si>
  <si>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</si>
  <si>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</si>
  <si>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</si>
  <si>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</si>
  <si>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</si>
  <si>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</si>
  <si>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</si>
  <si>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</si>
  <si>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</si>
  <si>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</si>
  <si>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</si>
  <si>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</si>
  <si>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</si>
  <si>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</si>
  <si>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</si>
  <si>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</si>
  <si>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</si>
  <si>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</si>
  <si>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</si>
  <si>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</si>
  <si>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</si>
  <si>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</si>
  <si>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</si>
  <si>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</si>
  <si>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</si>
  <si>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</si>
  <si>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</si>
  <si>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</si>
  <si>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</si>
  <si>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</si>
  <si>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</si>
  <si>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</si>
  <si>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</si>
  <si>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</si>
  <si>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</si>
  <si>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</si>
  <si>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</si>
  <si>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</si>
  <si>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</si>
  <si>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</si>
  <si>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</si>
  <si>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</si>
  <si>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</si>
  <si>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</si>
  <si>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</si>
  <si>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</si>
  <si>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</si>
  <si>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</si>
  <si>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</si>
  <si>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</si>
  <si>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</si>
  <si>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</si>
  <si>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</si>
  <si>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</si>
  <si>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</si>
  <si>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</si>
  <si>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</si>
  <si>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</si>
  <si>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</si>
  <si>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</si>
  <si>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</si>
  <si>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</si>
  <si>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</si>
  <si>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</si>
  <si>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</si>
  <si>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</si>
  <si>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</si>
  <si>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</si>
  <si>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</si>
  <si>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</si>
  <si>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</si>
  <si>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</si>
  <si>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</si>
  <si>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</si>
  <si>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</si>
  <si>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</si>
  <si>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</si>
  <si>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</si>
  <si>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</si>
  <si>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</si>
  <si>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</si>
  <si>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</si>
  <si>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</si>
  <si>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</si>
  <si>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</si>
  <si>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</si>
  <si>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</si>
  <si>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</si>
  <si>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</si>
  <si>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</si>
  <si>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</si>
  <si>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</si>
  <si>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</si>
  <si>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</si>
  <si>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</si>
  <si>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</si>
  <si>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job Role</t>
  </si>
  <si>
    <t>Attritions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</si>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</sst>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2" tint="-0.14999847407452621"/>
        <bgColor indexed="64"/>
      </patternFill>
    </fill>
  </fills>
  <borders count="2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rgb="FFABABAB"/>
      </top>
      <bottom/>
      <diagonal/>
    </border>
    <border>
      <left/>
      <right style="medium">
        <color indexed="64"/>
      </right>
      <top/>
      <bottom/>
      <diagonal/>
    </border>
    <border>
      <left style="medium">
        <color indexed="64"/>
      </left>
      <right/>
      <top style="thin">
        <color rgb="FFABABAB"/>
      </top>
      <bottom style="thin">
        <color rgb="FFABABAB"/>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1" fillId="0" borderId="0" xfId="0" applyFont="1"/>
    <xf numFmtId="0" fontId="0" fillId="0" borderId="2" xfId="0" applyBorder="1"/>
    <xf numFmtId="0" fontId="0" fillId="0" borderId="5" xfId="0" applyBorder="1"/>
    <xf numFmtId="0" fontId="0" fillId="2" borderId="0" xfId="0" applyFill="1"/>
    <xf numFmtId="0" fontId="0" fillId="0" borderId="7" xfId="0" applyBorder="1"/>
    <xf numFmtId="164" fontId="0" fillId="0" borderId="8"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3" xfId="0" applyBorder="1" applyAlignment="1">
      <alignment horizontal="left"/>
    </xf>
    <xf numFmtId="9" fontId="0" fillId="0" borderId="0" xfId="1" applyFont="1"/>
    <xf numFmtId="10" fontId="0" fillId="0" borderId="7" xfId="0" applyNumberFormat="1" applyBorder="1"/>
    <xf numFmtId="10" fontId="0" fillId="0" borderId="10" xfId="0" applyNumberFormat="1" applyBorder="1"/>
    <xf numFmtId="10" fontId="0" fillId="0" borderId="8" xfId="0" applyNumberFormat="1" applyBorder="1"/>
    <xf numFmtId="0" fontId="0" fillId="0" borderId="10" xfId="0" applyBorder="1"/>
    <xf numFmtId="0" fontId="0" fillId="0" borderId="8" xfId="0" applyBorder="1"/>
    <xf numFmtId="0" fontId="0" fillId="0" borderId="6" xfId="0" applyBorder="1"/>
    <xf numFmtId="0" fontId="0" fillId="0" borderId="4"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1" fontId="0" fillId="0" borderId="0" xfId="0" applyNumberFormat="1" applyBorder="1"/>
    <xf numFmtId="10" fontId="0" fillId="0" borderId="0" xfId="1" applyNumberFormat="1" applyFont="1" applyBorder="1"/>
    <xf numFmtId="0" fontId="0" fillId="0" borderId="18" xfId="0" applyBorder="1"/>
    <xf numFmtId="0" fontId="0" fillId="0" borderId="19" xfId="0" applyBorder="1"/>
    <xf numFmtId="0" fontId="0" fillId="0" borderId="20" xfId="0" applyBorder="1"/>
  </cellXfs>
  <cellStyles count="2">
    <cellStyle name="Normal" xfId="0" builtinId="0"/>
    <cellStyle name="Percent" xfId="1" builtinId="5"/>
  </cellStyles>
  <dxfs count="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7"/>
      <tableStyleElement type="firstRowStripe" dxfId="6"/>
      <tableStyleElement type="secondRowStripe" dxfId="5"/>
    </tableStyle>
    <tableStyle name="s" pivot="0" table="0" count="4" xr9:uid="{7A31AC32-DA55-4DD5-AB48-F57436549F31}">
      <tableStyleElement type="wholeTable" dxfId="4"/>
    </tableStyle>
    <tableStyle name="slicer" pivot="0" table="0" count="0" xr9:uid="{1DB9E708-4406-448A-9D53-DEBB1889AE67}"/>
  </tableStyles>
  <colors>
    <mruColors>
      <color rgb="FFF1174B"/>
      <color rgb="FF996600"/>
      <color rgb="FF7911F7"/>
    </mruColors>
  </colors>
  <extLst>
    <ext xmlns:x14="http://schemas.microsoft.com/office/spreadsheetml/2009/9/main" uri="{46F421CA-312F-682f-3DD2-61675219B42D}">
      <x14:dxfs count="3">
        <dxf>
          <fill>
            <gradientFill>
              <stop position="0">
                <color theme="1"/>
              </stop>
              <stop position="1">
                <color theme="1" tint="0.25098422193060094"/>
              </stop>
            </gradientFill>
          </fill>
        </dxf>
        <dxf>
          <font>
            <b/>
            <i val="0"/>
            <color theme="2"/>
            <name val="Calibri"/>
            <family val="2"/>
            <scheme val="minor"/>
          </font>
          <fill>
            <gradientFill>
              <stop position="0">
                <color rgb="FF002060"/>
              </stop>
              <stop position="1">
                <color rgb="FF7030A0"/>
              </stop>
            </gradientFill>
          </fill>
        </dxf>
        <dxf>
          <fill>
            <gradientFill>
              <stop position="0">
                <color theme="1"/>
              </stop>
              <stop position="1">
                <color theme="1" tint="0.34900967436750391"/>
              </stop>
            </gradientFill>
          </fill>
        </dxf>
      </x14:dxfs>
    </ext>
    <ext xmlns:x14="http://schemas.microsoft.com/office/spreadsheetml/2009/9/main" uri="{EB79DEF2-80B8-43e5-95BD-54CBDDF9020C}">
      <x14:slicerStyles defaultSlicerStyle="SlicerStyleLight1">
        <x14:slicerStyle name="s">
          <x14:slicerStyleElements>
            <x14:slicerStyleElement type="unselectedItemWithData" dxfId="2"/>
            <x14:slicerStyleElement type="selectedItemWithData" dxfId="1"/>
            <x14:slicerStyleElement type="selectedItemWithNoData" dxfId="0"/>
          </x14:slicerStyleElements>
        </x14:slicerStyle>
        <x14:slicerStyle name="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10/relationships/person" Target="persons/person.xml"/><Relationship Id="rId5" Type="http://schemas.openxmlformats.org/officeDocument/2006/relationships/worksheet" Target="worksheets/sheet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69-4CDE-A68E-576CC6B0C5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69-4CDE-A68E-576CC6B0C5A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99EB-4E78-9B88-1C2B3F683A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FB7-4FBA-8F6C-1C3BC416100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BFB7-4FBA-8F6C-1C3BC4161000}"/>
            </c:ext>
          </c:extLst>
        </c:ser>
        <c:dLbls>
          <c:showLegendKey val="0"/>
          <c:showVal val="0"/>
          <c:showCatName val="0"/>
          <c:showSerName val="0"/>
          <c:showPercent val="0"/>
          <c:showBubbleSize val="0"/>
        </c:dLbls>
        <c:gapWidth val="0"/>
        <c:overlap val="100"/>
        <c:axId val="1332480031"/>
        <c:axId val="1332496351"/>
      </c:barChart>
      <c:catAx>
        <c:axId val="1332480031"/>
        <c:scaling>
          <c:orientation val="minMax"/>
        </c:scaling>
        <c:delete val="1"/>
        <c:axPos val="l"/>
        <c:majorTickMark val="out"/>
        <c:minorTickMark val="none"/>
        <c:tickLblPos val="nextTo"/>
        <c:crossAx val="1332496351"/>
        <c:crosses val="autoZero"/>
        <c:auto val="1"/>
        <c:lblAlgn val="ctr"/>
        <c:lblOffset val="100"/>
        <c:noMultiLvlLbl val="0"/>
      </c:catAx>
      <c:valAx>
        <c:axId val="1332496351"/>
        <c:scaling>
          <c:orientation val="minMax"/>
          <c:max val="4"/>
          <c:min val="0"/>
        </c:scaling>
        <c:delete val="1"/>
        <c:axPos val="b"/>
        <c:numFmt formatCode="0.0" sourceLinked="1"/>
        <c:majorTickMark val="out"/>
        <c:minorTickMark val="none"/>
        <c:tickLblPos val="nextTo"/>
        <c:crossAx val="1332480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7C-44DC-83A5-B9259AA788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7C-44DC-83A5-B9259AA788CF}"/>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0-1574-43C4-BE51-89B2086418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wise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C56-4709-A90A-92732BBE6BE3}"/>
            </c:ext>
          </c:extLst>
        </c:ser>
        <c:dLbls>
          <c:dLblPos val="outEnd"/>
          <c:showLegendKey val="0"/>
          <c:showVal val="1"/>
          <c:showCatName val="0"/>
          <c:showSerName val="0"/>
          <c:showPercent val="0"/>
          <c:showBubbleSize val="0"/>
        </c:dLbls>
        <c:gapWidth val="182"/>
        <c:axId val="25703567"/>
        <c:axId val="25730447"/>
      </c:barChart>
      <c:catAx>
        <c:axId val="25703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30447"/>
        <c:crosses val="autoZero"/>
        <c:auto val="1"/>
        <c:lblAlgn val="ctr"/>
        <c:lblOffset val="100"/>
        <c:noMultiLvlLbl val="0"/>
      </c:catAx>
      <c:valAx>
        <c:axId val="25730447"/>
        <c:scaling>
          <c:orientation val="minMax"/>
        </c:scaling>
        <c:delete val="1"/>
        <c:axPos val="b"/>
        <c:numFmt formatCode="General" sourceLinked="1"/>
        <c:majorTickMark val="out"/>
        <c:minorTickMark val="none"/>
        <c:tickLblPos val="nextTo"/>
        <c:crossAx val="2570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B-451B-AC16-901B553B6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EB-451B-AC16-901B553B6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EB-451B-AC16-901B553B6C75}"/>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4E7-4CC0-B41D-05222E40C8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835-45D5-8535-91AA98C29747}"/>
            </c:ext>
          </c:extLst>
        </c:ser>
        <c:dLbls>
          <c:showLegendKey val="0"/>
          <c:showVal val="0"/>
          <c:showCatName val="0"/>
          <c:showSerName val="0"/>
          <c:showPercent val="0"/>
          <c:showBubbleSize val="0"/>
        </c:dLbls>
        <c:gapWidth val="219"/>
        <c:overlap val="-27"/>
        <c:axId val="1275201199"/>
        <c:axId val="1275199759"/>
      </c:barChart>
      <c:catAx>
        <c:axId val="127520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99759"/>
        <c:crosses val="autoZero"/>
        <c:auto val="1"/>
        <c:lblAlgn val="ctr"/>
        <c:lblOffset val="100"/>
        <c:noMultiLvlLbl val="0"/>
      </c:catAx>
      <c:valAx>
        <c:axId val="1275199759"/>
        <c:scaling>
          <c:orientation val="minMax"/>
        </c:scaling>
        <c:delete val="1"/>
        <c:axPos val="l"/>
        <c:numFmt formatCode="General" sourceLinked="1"/>
        <c:majorTickMark val="none"/>
        <c:minorTickMark val="none"/>
        <c:tickLblPos val="nextTo"/>
        <c:crossAx val="127520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2">
                      <a:lumMod val="50000"/>
                    </a:schemeClr>
                  </a:gs>
                </a:gsLst>
                <a:lin ang="5400000" scaled="1"/>
              </a:gradFill>
              <a:ln w="19050">
                <a:noFill/>
              </a:ln>
              <a:effectLst/>
            </c:spPr>
            <c:extLst>
              <c:ext xmlns:c16="http://schemas.microsoft.com/office/drawing/2014/chart" uri="{C3380CC4-5D6E-409C-BE32-E72D297353CC}">
                <c16:uniqueId val="{00000001-EED0-4219-BD08-2484ED83B8DA}"/>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EED0-4219-BD08-2484ED83B8D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EED0-4219-BD08-2484ED83B8D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05A2-421E-944E-5BB8F0D8CADA}"/>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05A2-421E-944E-5BB8F0D8CADA}"/>
            </c:ext>
          </c:extLst>
        </c:ser>
        <c:dLbls>
          <c:showLegendKey val="0"/>
          <c:showVal val="0"/>
          <c:showCatName val="0"/>
          <c:showSerName val="0"/>
          <c:showPercent val="0"/>
          <c:showBubbleSize val="0"/>
        </c:dLbls>
        <c:gapWidth val="0"/>
        <c:overlap val="100"/>
        <c:axId val="1332480031"/>
        <c:axId val="1332496351"/>
      </c:barChart>
      <c:catAx>
        <c:axId val="1332480031"/>
        <c:scaling>
          <c:orientation val="minMax"/>
        </c:scaling>
        <c:delete val="1"/>
        <c:axPos val="l"/>
        <c:majorTickMark val="out"/>
        <c:minorTickMark val="none"/>
        <c:tickLblPos val="nextTo"/>
        <c:crossAx val="1332496351"/>
        <c:crosses val="autoZero"/>
        <c:auto val="1"/>
        <c:lblAlgn val="ctr"/>
        <c:lblOffset val="100"/>
        <c:noMultiLvlLbl val="0"/>
      </c:catAx>
      <c:valAx>
        <c:axId val="1332496351"/>
        <c:scaling>
          <c:orientation val="minMax"/>
          <c:max val="4"/>
          <c:min val="0"/>
        </c:scaling>
        <c:delete val="1"/>
        <c:axPos val="b"/>
        <c:numFmt formatCode="0.0" sourceLinked="1"/>
        <c:majorTickMark val="out"/>
        <c:minorTickMark val="none"/>
        <c:tickLblPos val="nextTo"/>
        <c:crossAx val="1332480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911F7"/>
                  </a:gs>
                  <a:gs pos="100000">
                    <a:schemeClr val="accent2">
                      <a:lumMod val="50000"/>
                    </a:schemeClr>
                  </a:gs>
                </a:gsLst>
                <a:lin ang="10800000" scaled="0"/>
              </a:gradFill>
              <a:ln w="19050">
                <a:noFill/>
              </a:ln>
              <a:effectLst/>
            </c:spPr>
            <c:extLst>
              <c:ext xmlns:c16="http://schemas.microsoft.com/office/drawing/2014/chart" uri="{C3380CC4-5D6E-409C-BE32-E72D297353CC}">
                <c16:uniqueId val="{00000001-FE22-4736-9244-43E628E07C15}"/>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FE22-4736-9244-43E628E07C15}"/>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FE22-4736-9244-43E628E07C1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95000"/>
              </a:schemeClr>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5E1C-4111-BFBE-6559FC0651B4}"/>
              </c:ext>
            </c:extLst>
          </c:dPt>
          <c:dPt>
            <c:idx val="1"/>
            <c:bubble3D val="0"/>
            <c:spPr>
              <a:gradFill>
                <a:gsLst>
                  <a:gs pos="0">
                    <a:srgbClr val="00B050"/>
                  </a:gs>
                  <a:gs pos="100000">
                    <a:schemeClr val="accent2">
                      <a:lumMod val="50000"/>
                    </a:schemeClr>
                  </a:gs>
                </a:gsLst>
                <a:lin ang="10800000" scaled="0"/>
              </a:gradFill>
              <a:ln w="19050">
                <a:noFill/>
              </a:ln>
              <a:effectLst/>
            </c:spPr>
            <c:extLst>
              <c:ext xmlns:c16="http://schemas.microsoft.com/office/drawing/2014/chart" uri="{C3380CC4-5D6E-409C-BE32-E72D297353CC}">
                <c16:uniqueId val="{00000003-5E1C-4111-BFBE-6559FC0651B4}"/>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5E1C-4111-BFBE-6559FC0651B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wise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lumMod val="26000"/>
                </a:srgbClr>
              </a:gs>
              <a:gs pos="100000">
                <a:srgbClr val="7030A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gradFill>
              <a:gsLst>
                <a:gs pos="0">
                  <a:srgbClr val="00B050">
                    <a:lumMod val="26000"/>
                  </a:srgbClr>
                </a:gs>
                <a:gs pos="100000">
                  <a:srgbClr val="7030A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2A7-476B-A247-754D88D3E6F8}"/>
            </c:ext>
          </c:extLst>
        </c:ser>
        <c:dLbls>
          <c:dLblPos val="outEnd"/>
          <c:showLegendKey val="0"/>
          <c:showVal val="1"/>
          <c:showCatName val="0"/>
          <c:showSerName val="0"/>
          <c:showPercent val="0"/>
          <c:showBubbleSize val="0"/>
        </c:dLbls>
        <c:gapWidth val="75"/>
        <c:axId val="25703567"/>
        <c:axId val="25730447"/>
      </c:barChart>
      <c:catAx>
        <c:axId val="2570356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5730447"/>
        <c:crosses val="autoZero"/>
        <c:auto val="1"/>
        <c:lblAlgn val="ctr"/>
        <c:lblOffset val="100"/>
        <c:noMultiLvlLbl val="0"/>
      </c:catAx>
      <c:valAx>
        <c:axId val="25730447"/>
        <c:scaling>
          <c:orientation val="minMax"/>
        </c:scaling>
        <c:delete val="1"/>
        <c:axPos val="b"/>
        <c:numFmt formatCode="General" sourceLinked="1"/>
        <c:majorTickMark val="out"/>
        <c:minorTickMark val="none"/>
        <c:tickLblPos val="nextTo"/>
        <c:crossAx val="2570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7655220226022211E-2"/>
              <c:y val="0.1200195383946669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640785622646018"/>
              <c:y val="-0.1063852678782766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9014898097562577"/>
              <c:y val="0.1076062023644039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6-4967-A9B3-1B6121401E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6-4967-A9B3-1B6121401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36-4967-A9B3-1B6121401EC8}"/>
              </c:ext>
            </c:extLst>
          </c:dPt>
          <c:dLbls>
            <c:dLbl>
              <c:idx val="0"/>
              <c:layout>
                <c:manualLayout>
                  <c:x val="-3.7655220226022211E-2"/>
                  <c:y val="0.1200195383946669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36-4967-A9B3-1B6121401EC8}"/>
                </c:ext>
              </c:extLst>
            </c:dLbl>
            <c:dLbl>
              <c:idx val="1"/>
              <c:layout>
                <c:manualLayout>
                  <c:x val="-0.20640785622646018"/>
                  <c:y val="-0.106385267878276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36-4967-A9B3-1B6121401EC8}"/>
                </c:ext>
              </c:extLst>
            </c:dLbl>
            <c:dLbl>
              <c:idx val="2"/>
              <c:layout>
                <c:manualLayout>
                  <c:x val="0.19014898097562577"/>
                  <c:y val="0.1076062023644039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36-4967-A9B3-1B6121401EC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F36-4967-A9B3-1B6121401EC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675413155477258"/>
          <c:y val="0.24140848586048549"/>
          <c:w val="0.19453916452226958"/>
          <c:h val="0.4570615803720902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1174B"/>
              </a:gs>
              <a:gs pos="100000">
                <a:srgbClr val="00206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F1174B"/>
                </a:gs>
                <a:gs pos="100000">
                  <a:srgbClr val="00206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36C-420E-911C-230816CEDB57}"/>
            </c:ext>
          </c:extLst>
        </c:ser>
        <c:dLbls>
          <c:dLblPos val="outEnd"/>
          <c:showLegendKey val="0"/>
          <c:showVal val="1"/>
          <c:showCatName val="0"/>
          <c:showSerName val="0"/>
          <c:showPercent val="0"/>
          <c:showBubbleSize val="0"/>
        </c:dLbls>
        <c:gapWidth val="76"/>
        <c:overlap val="-27"/>
        <c:axId val="1275201199"/>
        <c:axId val="1275199759"/>
      </c:barChart>
      <c:catAx>
        <c:axId val="127520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275199759"/>
        <c:crosses val="autoZero"/>
        <c:auto val="1"/>
        <c:lblAlgn val="ctr"/>
        <c:lblOffset val="100"/>
        <c:noMultiLvlLbl val="0"/>
      </c:catAx>
      <c:valAx>
        <c:axId val="1275199759"/>
        <c:scaling>
          <c:orientation val="minMax"/>
        </c:scaling>
        <c:delete val="1"/>
        <c:axPos val="l"/>
        <c:numFmt formatCode="General" sourceLinked="1"/>
        <c:majorTickMark val="none"/>
        <c:minorTickMark val="none"/>
        <c:tickLblPos val="nextTo"/>
        <c:crossAx val="127520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E0D6-4996-A953-91F332829C6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38F4736A-B31E-4AB2-87EA-69617C676B87}">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E0D6-4996-A953-91F332829C6F}">
          <cx:spPr>
            <a:ln>
              <a:noFill/>
            </a:ln>
          </cx:spPr>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38F4736A-B31E-4AB2-87EA-69617C676B87}">
          <cx:tx>
            <cx:txData>
              <cx:f>_xlchart.v2.8</cx:f>
              <cx:v>Attrition</cx:v>
            </cx:txData>
          </cx:tx>
          <cx:spPr>
            <a:gradFill>
              <a:gsLst>
                <a:gs pos="0">
                  <a:schemeClr val="tx2">
                    <a:lumMod val="95000"/>
                    <a:lumOff val="5000"/>
                  </a:schemeClr>
                </a:gs>
                <a:gs pos="100000">
                  <a:srgbClr val="FF0000"/>
                </a:gs>
              </a:gsLst>
              <a:lin ang="10800000" scaled="0"/>
            </a:gradFill>
          </cx:spPr>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9</xdr:col>
      <xdr:colOff>281940</xdr:colOff>
      <xdr:row>2</xdr:row>
      <xdr:rowOff>144781</xdr:rowOff>
    </xdr:from>
    <xdr:to>
      <xdr:col>12</xdr:col>
      <xdr:colOff>99060</xdr:colOff>
      <xdr:row>11</xdr:row>
      <xdr:rowOff>121921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07A54AC-16FE-F26C-16BA-8A1E079E7B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52660" y="54102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99060</xdr:rowOff>
    </xdr:from>
    <xdr:to>
      <xdr:col>6</xdr:col>
      <xdr:colOff>137160</xdr:colOff>
      <xdr:row>8</xdr:row>
      <xdr:rowOff>114300</xdr:rowOff>
    </xdr:to>
    <xdr:graphicFrame macro="">
      <xdr:nvGraphicFramePr>
        <xdr:cNvPr id="4" name="Chart 3">
          <a:extLst>
            <a:ext uri="{FF2B5EF4-FFF2-40B4-BE49-F238E27FC236}">
              <a16:creationId xmlns:a16="http://schemas.microsoft.com/office/drawing/2014/main" id="{904530A8-5386-ED90-9344-94698A060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426720</xdr:colOff>
      <xdr:row>1</xdr:row>
      <xdr:rowOff>99061</xdr:rowOff>
    </xdr:from>
    <xdr:to>
      <xdr:col>10</xdr:col>
      <xdr:colOff>510540</xdr:colOff>
      <xdr:row>8</xdr:row>
      <xdr:rowOff>182881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4969FF89-B2D0-7908-A7AA-A3366F2F4D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48400" y="297181"/>
              <a:ext cx="20955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1626870</xdr:colOff>
      <xdr:row>15</xdr:row>
      <xdr:rowOff>190500</xdr:rowOff>
    </xdr:from>
    <xdr:to>
      <xdr:col>7</xdr:col>
      <xdr:colOff>377190</xdr:colOff>
      <xdr:row>22</xdr:row>
      <xdr:rowOff>41910</xdr:rowOff>
    </xdr:to>
    <xdr:graphicFrame macro="">
      <xdr:nvGraphicFramePr>
        <xdr:cNvPr id="2" name="Chart 1">
          <a:extLst>
            <a:ext uri="{FF2B5EF4-FFF2-40B4-BE49-F238E27FC236}">
              <a16:creationId xmlns:a16="http://schemas.microsoft.com/office/drawing/2014/main" id="{43B13FCD-4BB6-68E5-15D3-B7D15CC42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373380</xdr:colOff>
      <xdr:row>7</xdr:row>
      <xdr:rowOff>190500</xdr:rowOff>
    </xdr:from>
    <xdr:to>
      <xdr:col>14</xdr:col>
      <xdr:colOff>190500</xdr:colOff>
      <xdr:row>21</xdr:row>
      <xdr:rowOff>112395</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4EA11E27-11B7-4090-8473-741AD592B93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877300" y="1577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472440</xdr:colOff>
      <xdr:row>3</xdr:row>
      <xdr:rowOff>30480</xdr:rowOff>
    </xdr:from>
    <xdr:to>
      <xdr:col>14</xdr:col>
      <xdr:colOff>289560</xdr:colOff>
      <xdr:row>16</xdr:row>
      <xdr:rowOff>150495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86639ED-F6B0-E9E3-1562-5762DA9C0B8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174480" y="624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3</xdr:row>
      <xdr:rowOff>15239</xdr:rowOff>
    </xdr:from>
    <xdr:to>
      <xdr:col>10</xdr:col>
      <xdr:colOff>632460</xdr:colOff>
      <xdr:row>8</xdr:row>
      <xdr:rowOff>106680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486EB845-59EE-B9FE-5AFB-2C52FCFFDEA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835140" y="609599"/>
              <a:ext cx="1828800" cy="108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167640</xdr:colOff>
      <xdr:row>14</xdr:row>
      <xdr:rowOff>106680</xdr:rowOff>
    </xdr:from>
    <xdr:to>
      <xdr:col>3</xdr:col>
      <xdr:colOff>220980</xdr:colOff>
      <xdr:row>24</xdr:row>
      <xdr:rowOff>0</xdr:rowOff>
    </xdr:to>
    <xdr:graphicFrame macro="">
      <xdr:nvGraphicFramePr>
        <xdr:cNvPr id="4" name="Chart 3">
          <a:extLst>
            <a:ext uri="{FF2B5EF4-FFF2-40B4-BE49-F238E27FC236}">
              <a16:creationId xmlns:a16="http://schemas.microsoft.com/office/drawing/2014/main" id="{BBA28C84-6846-31B1-7FC6-DAE54FD8A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628650</xdr:colOff>
      <xdr:row>3</xdr:row>
      <xdr:rowOff>91440</xdr:rowOff>
    </xdr:from>
    <xdr:to>
      <xdr:col>9</xdr:col>
      <xdr:colOff>114300</xdr:colOff>
      <xdr:row>14</xdr:row>
      <xdr:rowOff>22860</xdr:rowOff>
    </xdr:to>
    <xdr:graphicFrame macro="">
      <xdr:nvGraphicFramePr>
        <xdr:cNvPr id="2" name="Chart 1">
          <a:extLst>
            <a:ext uri="{FF2B5EF4-FFF2-40B4-BE49-F238E27FC236}">
              <a16:creationId xmlns:a16="http://schemas.microsoft.com/office/drawing/2014/main" id="{7245FED9-E4A5-570A-3F51-944876F49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476250</xdr:colOff>
      <xdr:row>3</xdr:row>
      <xdr:rowOff>163830</xdr:rowOff>
    </xdr:from>
    <xdr:to>
      <xdr:col>12</xdr:col>
      <xdr:colOff>354330</xdr:colOff>
      <xdr:row>17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88BAB70-2BA1-2356-9076-5FE17D4FAC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28510" y="758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7</xdr:row>
      <xdr:rowOff>53340</xdr:rowOff>
    </xdr:from>
    <xdr:to>
      <xdr:col>9</xdr:col>
      <xdr:colOff>331470</xdr:colOff>
      <xdr:row>19</xdr:row>
      <xdr:rowOff>114300</xdr:rowOff>
    </xdr:to>
    <xdr:graphicFrame macro="">
      <xdr:nvGraphicFramePr>
        <xdr:cNvPr id="2" name="Chart 1">
          <a:extLst>
            <a:ext uri="{FF2B5EF4-FFF2-40B4-BE49-F238E27FC236}">
              <a16:creationId xmlns:a16="http://schemas.microsoft.com/office/drawing/2014/main" id="{3547F7D8-60FF-8910-61B7-38FC49A08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1215390</xdr:colOff>
      <xdr:row>9</xdr:row>
      <xdr:rowOff>152400</xdr:rowOff>
    </xdr:from>
    <xdr:to>
      <xdr:col>8</xdr:col>
      <xdr:colOff>26670</xdr:colOff>
      <xdr:row>23</xdr:row>
      <xdr:rowOff>121920</xdr:rowOff>
    </xdr:to>
    <xdr:graphicFrame macro="">
      <xdr:nvGraphicFramePr>
        <xdr:cNvPr id="2" name="Chart 1">
          <a:extLst>
            <a:ext uri="{FF2B5EF4-FFF2-40B4-BE49-F238E27FC236}">
              <a16:creationId xmlns:a16="http://schemas.microsoft.com/office/drawing/2014/main" id="{A113AC5E-5A0B-275B-607C-6AC779131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236220</xdr:colOff>
      <xdr:row>1</xdr:row>
      <xdr:rowOff>175260</xdr:rowOff>
    </xdr:from>
    <xdr:to>
      <xdr:col>12</xdr:col>
      <xdr:colOff>53340</xdr:colOff>
      <xdr:row>15</xdr:row>
      <xdr:rowOff>97155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1B14D5A-092E-988C-BC52-CAF4E9F7F6D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97140" y="3733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472440</xdr:colOff>
      <xdr:row>1</xdr:row>
      <xdr:rowOff>91440</xdr:rowOff>
    </xdr:from>
    <xdr:to>
      <xdr:col>15</xdr:col>
      <xdr:colOff>289560</xdr:colOff>
      <xdr:row>15</xdr:row>
      <xdr:rowOff>13335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93031331-B93B-7EB1-F41F-D6CD4ADD317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845040" y="289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331470</xdr:colOff>
      <xdr:row>5</xdr:row>
      <xdr:rowOff>140970</xdr:rowOff>
    </xdr:from>
    <xdr:to>
      <xdr:col>12</xdr:col>
      <xdr:colOff>209550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1A83766-6783-8B11-2160-4E1280507A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658895</xdr:colOff>
      <xdr:row>0</xdr:row>
      <xdr:rowOff>178741</xdr:rowOff>
    </xdr:from>
    <xdr:ext cx="14150340" cy="7673810"/>
    <xdr:grpSp>
      <xdr:nvGrpSpPr>
        <xdr:cNvPr id="2" name="Shape 2">
          <a:extLst>
            <a:ext uri="{FF2B5EF4-FFF2-40B4-BE49-F238E27FC236}">
              <a16:creationId xmlns:a16="http://schemas.microsoft.com/office/drawing/2014/main" id="{8786184C-C3A4-428A-B353-DB3889A1070D}"/>
            </a:ext>
          </a:extLst>
        </xdr:cNvPr>
        <xdr:cNvGrpSpPr/>
      </xdr:nvGrpSpPr>
      <xdr:grpSpPr>
        <a:xfrm>
          <a:off x="2042091" y="178741"/>
          <a:ext cx="14150340" cy="7673810"/>
          <a:chOff x="0" y="60488"/>
          <a:chExt cx="10692000" cy="7439025"/>
        </a:xfrm>
      </xdr:grpSpPr>
      <xdr:grpSp>
        <xdr:nvGrpSpPr>
          <xdr:cNvPr id="3" name="Shape 29">
            <a:extLst>
              <a:ext uri="{FF2B5EF4-FFF2-40B4-BE49-F238E27FC236}">
                <a16:creationId xmlns:a16="http://schemas.microsoft.com/office/drawing/2014/main" id="{F0FB600A-FAF0-3514-99EF-87FD408A1F14}"/>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2287B6F-BAAE-318C-1E7C-93BB971952C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AEA126F-A971-9260-5296-6F6A0C671132}"/>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2819FDF0-FE1C-AA4A-C41E-43D15B3CCF4B}"/>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3552DD0-9736-85A0-8544-4E7888DCCB2E}"/>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4D19B1D6-07D9-A1CB-5E63-08BA1D0F15BE}"/>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5242DD3E-429C-C56B-A2DD-FD586621822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C04548AC-0657-13AE-A302-C50973522EBF}"/>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518F311A-18A1-A561-E998-31B1CB5461AA}"/>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295143D5-78AF-82C5-6DDD-6195B98EB1D9}"/>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8B4A33F2-6904-D400-FEDF-FDF7E3D40D75}"/>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594E05B7-F97F-76BE-5507-CD5F3DFAD3D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C61A6D35-C5F2-2F3E-37D4-E646036F3C16}"/>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C90470BE-C9D1-52F1-C1B1-6DDE260D898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D898D0D5-B0B6-874C-044D-05662B9B6B6B}"/>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9A98A314-480A-ECA1-83CC-3D295789BECD}"/>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A8DA4D2D-C63F-9F49-FC79-A8963CB46AE2}"/>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BB7D51A4-EF95-4257-5453-19D532B8D7D6}"/>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A5299229-3E3A-27DB-C36C-5D7AFE9B2C17}"/>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4BCAB7E0-DA97-7BAA-860B-661B8B3C6D59}"/>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98E4DD1C-2CE1-6180-D26F-8210AF188473}"/>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875864CF-A2ED-D3A5-01AA-899241377A8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172EB0C2-9FFD-ACF3-D8E2-7C79BEBA0F6A}"/>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4AB9AF3-22EE-904A-B235-F67BAA71D3F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4E02233C-A37D-49D0-4367-FFDF0A45FE97}"/>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102B1AFF-1895-02FB-0A1C-9241B4F02332}"/>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94075</xdr:colOff>
      <xdr:row>6</xdr:row>
      <xdr:rowOff>122296</xdr:rowOff>
    </xdr:from>
    <xdr:to>
      <xdr:col>6</xdr:col>
      <xdr:colOff>498593</xdr:colOff>
      <xdr:row>8</xdr:row>
      <xdr:rowOff>131704</xdr:rowOff>
    </xdr:to>
    <xdr:sp macro="" textlink="">
      <xdr:nvSpPr>
        <xdr:cNvPr id="29" name="TextBox 28">
          <a:extLst>
            <a:ext uri="{FF2B5EF4-FFF2-40B4-BE49-F238E27FC236}">
              <a16:creationId xmlns:a16="http://schemas.microsoft.com/office/drawing/2014/main" id="{9A2399CD-EC55-8415-1457-745CD110ECAB}"/>
            </a:ext>
          </a:extLst>
        </xdr:cNvPr>
        <xdr:cNvSpPr txBox="1"/>
      </xdr:nvSpPr>
      <xdr:spPr>
        <a:xfrm>
          <a:off x="2135482" y="1307629"/>
          <a:ext cx="2408296" cy="404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75000"/>
                </a:schemeClr>
              </a:solidFill>
              <a:latin typeface="Arial Black" panose="020B0A04020102020204" pitchFamily="34" charset="0"/>
            </a:rPr>
            <a:t>Total</a:t>
          </a:r>
          <a:r>
            <a:rPr lang="en-IN" sz="1400" baseline="0">
              <a:solidFill>
                <a:schemeClr val="accent2">
                  <a:lumMod val="75000"/>
                </a:schemeClr>
              </a:solidFill>
              <a:latin typeface="Arial Black" panose="020B0A04020102020204" pitchFamily="34" charset="0"/>
            </a:rPr>
            <a:t> Employees</a:t>
          </a:r>
          <a:endParaRPr lang="en-IN" sz="1400">
            <a:solidFill>
              <a:schemeClr val="accent2">
                <a:lumMod val="75000"/>
              </a:schemeClr>
            </a:solidFill>
            <a:latin typeface="Arial Black" panose="020B0A04020102020204" pitchFamily="34" charset="0"/>
          </a:endParaRPr>
        </a:p>
      </xdr:txBody>
    </xdr:sp>
    <xdr:clientData/>
  </xdr:twoCellAnchor>
  <xdr:twoCellAnchor>
    <xdr:from>
      <xdr:col>4</xdr:col>
      <xdr:colOff>310444</xdr:colOff>
      <xdr:row>8</xdr:row>
      <xdr:rowOff>84668</xdr:rowOff>
    </xdr:from>
    <xdr:to>
      <xdr:col>7</xdr:col>
      <xdr:colOff>56444</xdr:colOff>
      <xdr:row>10</xdr:row>
      <xdr:rowOff>56444</xdr:rowOff>
    </xdr:to>
    <xdr:sp macro="" textlink="KPI!A8">
      <xdr:nvSpPr>
        <xdr:cNvPr id="30" name="TextBox 29">
          <a:extLst>
            <a:ext uri="{FF2B5EF4-FFF2-40B4-BE49-F238E27FC236}">
              <a16:creationId xmlns:a16="http://schemas.microsoft.com/office/drawing/2014/main" id="{842E5DA8-0653-0C3C-E693-077815AA6D69}"/>
            </a:ext>
          </a:extLst>
        </xdr:cNvPr>
        <xdr:cNvSpPr txBox="1"/>
      </xdr:nvSpPr>
      <xdr:spPr>
        <a:xfrm>
          <a:off x="3019777" y="1665112"/>
          <a:ext cx="1749778"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208EC6-EB0F-4D18-A9B0-98EEB026F5DF}" type="TxLink">
            <a:rPr lang="en-US" sz="2000" b="0" i="0" u="none" strike="noStrike">
              <a:solidFill>
                <a:srgbClr val="002060"/>
              </a:solidFill>
              <a:latin typeface="Arial Black" panose="020B0A04020102020204" pitchFamily="34" charset="0"/>
              <a:ea typeface="Calibri"/>
              <a:cs typeface="Calibri"/>
            </a:rPr>
            <a:pPr/>
            <a:t>1470</a:t>
          </a:fld>
          <a:endParaRPr lang="en-IN" sz="2000">
            <a:solidFill>
              <a:srgbClr val="002060"/>
            </a:solidFill>
            <a:latin typeface="Arial Black" panose="020B0A04020102020204" pitchFamily="34" charset="0"/>
          </a:endParaRPr>
        </a:p>
      </xdr:txBody>
    </xdr:sp>
    <xdr:clientData/>
  </xdr:twoCellAnchor>
  <xdr:twoCellAnchor>
    <xdr:from>
      <xdr:col>7</xdr:col>
      <xdr:colOff>169333</xdr:colOff>
      <xdr:row>6</xdr:row>
      <xdr:rowOff>92288</xdr:rowOff>
    </xdr:from>
    <xdr:to>
      <xdr:col>11</xdr:col>
      <xdr:colOff>414300</xdr:colOff>
      <xdr:row>8</xdr:row>
      <xdr:rowOff>101696</xdr:rowOff>
    </xdr:to>
    <xdr:sp macro="" textlink="">
      <xdr:nvSpPr>
        <xdr:cNvPr id="31" name="TextBox 30">
          <a:extLst>
            <a:ext uri="{FF2B5EF4-FFF2-40B4-BE49-F238E27FC236}">
              <a16:creationId xmlns:a16="http://schemas.microsoft.com/office/drawing/2014/main" id="{2C0273A1-A789-439A-98E4-B5D99FC01B3E}"/>
            </a:ext>
          </a:extLst>
        </xdr:cNvPr>
        <xdr:cNvSpPr txBox="1"/>
      </xdr:nvSpPr>
      <xdr:spPr>
        <a:xfrm>
          <a:off x="4882444" y="1277621"/>
          <a:ext cx="2916671" cy="404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2">
                  <a:lumMod val="75000"/>
                </a:schemeClr>
              </a:solidFill>
              <a:latin typeface="Arial Black" panose="020B0A04020102020204" pitchFamily="34" charset="0"/>
            </a:rPr>
            <a:t>Attrition</a:t>
          </a:r>
        </a:p>
      </xdr:txBody>
    </xdr:sp>
    <xdr:clientData/>
  </xdr:twoCellAnchor>
  <xdr:twoCellAnchor>
    <xdr:from>
      <xdr:col>8</xdr:col>
      <xdr:colOff>122672</xdr:colOff>
      <xdr:row>7</xdr:row>
      <xdr:rowOff>129916</xdr:rowOff>
    </xdr:from>
    <xdr:to>
      <xdr:col>10</xdr:col>
      <xdr:colOff>536598</xdr:colOff>
      <xdr:row>10</xdr:row>
      <xdr:rowOff>47037</xdr:rowOff>
    </xdr:to>
    <xdr:sp macro="" textlink="KPI!B8">
      <xdr:nvSpPr>
        <xdr:cNvPr id="32" name="TextBox 31">
          <a:extLst>
            <a:ext uri="{FF2B5EF4-FFF2-40B4-BE49-F238E27FC236}">
              <a16:creationId xmlns:a16="http://schemas.microsoft.com/office/drawing/2014/main" id="{21607D36-A3C5-42FA-B1B0-83CE4C218DBF}"/>
            </a:ext>
          </a:extLst>
        </xdr:cNvPr>
        <xdr:cNvSpPr txBox="1"/>
      </xdr:nvSpPr>
      <xdr:spPr>
        <a:xfrm>
          <a:off x="5503709" y="1512805"/>
          <a:ext cx="1749778" cy="50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9B1551-0D33-4B3C-910D-C8339E51EBDD}" type="TxLink">
            <a:rPr lang="en-US" sz="2400" b="0" i="0" u="none" strike="noStrike">
              <a:solidFill>
                <a:srgbClr val="002060"/>
              </a:solidFill>
              <a:latin typeface="Arial Black" panose="020B0A04020102020204" pitchFamily="34" charset="0"/>
              <a:ea typeface="Calibri"/>
              <a:cs typeface="Calibri"/>
            </a:rPr>
            <a:pPr algn="ctr"/>
            <a:t>237</a:t>
          </a:fld>
          <a:endParaRPr lang="en-IN" sz="2400">
            <a:solidFill>
              <a:srgbClr val="002060"/>
            </a:solidFill>
            <a:latin typeface="Arial Black" panose="020B0A04020102020204" pitchFamily="34" charset="0"/>
          </a:endParaRPr>
        </a:p>
      </xdr:txBody>
    </xdr:sp>
    <xdr:clientData/>
  </xdr:twoCellAnchor>
  <xdr:twoCellAnchor>
    <xdr:from>
      <xdr:col>12</xdr:col>
      <xdr:colOff>367265</xdr:colOff>
      <xdr:row>7</xdr:row>
      <xdr:rowOff>129917</xdr:rowOff>
    </xdr:from>
    <xdr:to>
      <xdr:col>15</xdr:col>
      <xdr:colOff>113265</xdr:colOff>
      <xdr:row>9</xdr:row>
      <xdr:rowOff>178742</xdr:rowOff>
    </xdr:to>
    <xdr:sp macro="" textlink="KPI!D8">
      <xdr:nvSpPr>
        <xdr:cNvPr id="33" name="TextBox 32">
          <a:extLst>
            <a:ext uri="{FF2B5EF4-FFF2-40B4-BE49-F238E27FC236}">
              <a16:creationId xmlns:a16="http://schemas.microsoft.com/office/drawing/2014/main" id="{BB4D1DB6-D55E-4A2D-946F-11649DB08B38}"/>
            </a:ext>
          </a:extLst>
        </xdr:cNvPr>
        <xdr:cNvSpPr txBox="1"/>
      </xdr:nvSpPr>
      <xdr:spPr>
        <a:xfrm>
          <a:off x="8420006" y="1512806"/>
          <a:ext cx="1749778" cy="443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8F29FF-C281-41E2-8C3B-F7D757C6BEEF}" type="TxLink">
            <a:rPr lang="en-US" sz="2400" b="0" i="0" u="none" strike="noStrike">
              <a:solidFill>
                <a:srgbClr val="002060"/>
              </a:solidFill>
              <a:latin typeface="Arial Black" panose="020B0A04020102020204" pitchFamily="34" charset="0"/>
              <a:ea typeface="Calibri"/>
              <a:cs typeface="Calibri"/>
            </a:rPr>
            <a:pPr/>
            <a:t>1233</a:t>
          </a:fld>
          <a:endParaRPr lang="en-IN" sz="2400">
            <a:solidFill>
              <a:srgbClr val="002060"/>
            </a:solidFill>
            <a:latin typeface="Arial Black" panose="020B0A04020102020204" pitchFamily="34" charset="0"/>
          </a:endParaRPr>
        </a:p>
      </xdr:txBody>
    </xdr:sp>
    <xdr:clientData/>
  </xdr:twoCellAnchor>
  <xdr:twoCellAnchor>
    <xdr:from>
      <xdr:col>16</xdr:col>
      <xdr:colOff>536598</xdr:colOff>
      <xdr:row>7</xdr:row>
      <xdr:rowOff>188148</xdr:rowOff>
    </xdr:from>
    <xdr:to>
      <xdr:col>19</xdr:col>
      <xdr:colOff>282598</xdr:colOff>
      <xdr:row>10</xdr:row>
      <xdr:rowOff>18814</xdr:rowOff>
    </xdr:to>
    <xdr:sp macro="" textlink="KPI!E8">
      <xdr:nvSpPr>
        <xdr:cNvPr id="34" name="TextBox 33">
          <a:extLst>
            <a:ext uri="{FF2B5EF4-FFF2-40B4-BE49-F238E27FC236}">
              <a16:creationId xmlns:a16="http://schemas.microsoft.com/office/drawing/2014/main" id="{F0A725BB-5693-489F-8835-610210AD6387}"/>
            </a:ext>
          </a:extLst>
        </xdr:cNvPr>
        <xdr:cNvSpPr txBox="1"/>
      </xdr:nvSpPr>
      <xdr:spPr>
        <a:xfrm>
          <a:off x="11261042" y="1571037"/>
          <a:ext cx="1749778"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9823DC-DCF3-4677-94D9-EFDEB81A85BF}" type="TxLink">
            <a:rPr lang="en-US" sz="2400" b="0" i="0" u="none" strike="noStrike">
              <a:solidFill>
                <a:srgbClr val="002060"/>
              </a:solidFill>
              <a:latin typeface="Arial Black" panose="020B0A04020102020204" pitchFamily="34" charset="0"/>
              <a:ea typeface="Calibri"/>
              <a:cs typeface="Calibri"/>
            </a:rPr>
            <a:pPr/>
            <a:t>16.12%</a:t>
          </a:fld>
          <a:endParaRPr lang="en-IN" sz="2400">
            <a:solidFill>
              <a:srgbClr val="002060"/>
            </a:solidFill>
            <a:latin typeface="Arial Black" panose="020B0A04020102020204" pitchFamily="34" charset="0"/>
          </a:endParaRPr>
        </a:p>
      </xdr:txBody>
    </xdr:sp>
    <xdr:clientData/>
  </xdr:twoCellAnchor>
  <xdr:twoCellAnchor>
    <xdr:from>
      <xdr:col>21</xdr:col>
      <xdr:colOff>133960</xdr:colOff>
      <xdr:row>7</xdr:row>
      <xdr:rowOff>152400</xdr:rowOff>
    </xdr:from>
    <xdr:to>
      <xdr:col>23</xdr:col>
      <xdr:colOff>547886</xdr:colOff>
      <xdr:row>10</xdr:row>
      <xdr:rowOff>-1</xdr:rowOff>
    </xdr:to>
    <xdr:sp macro="" textlink="KPI!C8">
      <xdr:nvSpPr>
        <xdr:cNvPr id="35" name="TextBox 34">
          <a:extLst>
            <a:ext uri="{FF2B5EF4-FFF2-40B4-BE49-F238E27FC236}">
              <a16:creationId xmlns:a16="http://schemas.microsoft.com/office/drawing/2014/main" id="{70F5C005-3BD1-4851-BDB7-06B52BA2E0CA}"/>
            </a:ext>
          </a:extLst>
        </xdr:cNvPr>
        <xdr:cNvSpPr txBox="1"/>
      </xdr:nvSpPr>
      <xdr:spPr>
        <a:xfrm>
          <a:off x="14198034" y="1535289"/>
          <a:ext cx="1749778"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C43500-7119-4285-A9C4-F5D7CCB4C1DD}" type="TxLink">
            <a:rPr lang="en-US" sz="2400" b="0" i="0" u="none" strike="noStrike">
              <a:solidFill>
                <a:srgbClr val="002060"/>
              </a:solidFill>
              <a:latin typeface="Arial Black" panose="020B0A04020102020204" pitchFamily="34" charset="0"/>
              <a:ea typeface="Calibri"/>
              <a:cs typeface="Calibri"/>
            </a:rPr>
            <a:pPr/>
            <a:t>37</a:t>
          </a:fld>
          <a:endParaRPr lang="en-IN" sz="2400">
            <a:solidFill>
              <a:srgbClr val="002060"/>
            </a:solidFill>
            <a:latin typeface="Arial Black" panose="020B0A04020102020204" pitchFamily="34" charset="0"/>
          </a:endParaRPr>
        </a:p>
      </xdr:txBody>
    </xdr:sp>
    <xdr:clientData/>
  </xdr:twoCellAnchor>
  <xdr:twoCellAnchor>
    <xdr:from>
      <xdr:col>11</xdr:col>
      <xdr:colOff>406775</xdr:colOff>
      <xdr:row>6</xdr:row>
      <xdr:rowOff>94169</xdr:rowOff>
    </xdr:from>
    <xdr:to>
      <xdr:col>15</xdr:col>
      <xdr:colOff>143367</xdr:colOff>
      <xdr:row>8</xdr:row>
      <xdr:rowOff>103577</xdr:rowOff>
    </xdr:to>
    <xdr:sp macro="" textlink="">
      <xdr:nvSpPr>
        <xdr:cNvPr id="38" name="TextBox 37">
          <a:extLst>
            <a:ext uri="{FF2B5EF4-FFF2-40B4-BE49-F238E27FC236}">
              <a16:creationId xmlns:a16="http://schemas.microsoft.com/office/drawing/2014/main" id="{E5E7CFBB-3463-4556-91D4-03504A20BBAC}"/>
            </a:ext>
          </a:extLst>
        </xdr:cNvPr>
        <xdr:cNvSpPr txBox="1"/>
      </xdr:nvSpPr>
      <xdr:spPr>
        <a:xfrm>
          <a:off x="7791590" y="1279502"/>
          <a:ext cx="2408296" cy="404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75000"/>
                </a:schemeClr>
              </a:solidFill>
              <a:latin typeface="Arial Black" panose="020B0A04020102020204" pitchFamily="34" charset="0"/>
            </a:rPr>
            <a:t>Active</a:t>
          </a:r>
          <a:r>
            <a:rPr lang="en-IN" sz="1400" baseline="0">
              <a:solidFill>
                <a:schemeClr val="accent2">
                  <a:lumMod val="75000"/>
                </a:schemeClr>
              </a:solidFill>
              <a:latin typeface="Arial Black" panose="020B0A04020102020204" pitchFamily="34" charset="0"/>
            </a:rPr>
            <a:t> Employees</a:t>
          </a:r>
          <a:endParaRPr lang="en-IN" sz="1400">
            <a:solidFill>
              <a:schemeClr val="accent2">
                <a:lumMod val="75000"/>
              </a:schemeClr>
            </a:solidFill>
            <a:latin typeface="Arial Black" panose="020B0A04020102020204" pitchFamily="34" charset="0"/>
          </a:endParaRPr>
        </a:p>
      </xdr:txBody>
    </xdr:sp>
    <xdr:clientData/>
  </xdr:twoCellAnchor>
  <xdr:twoCellAnchor>
    <xdr:from>
      <xdr:col>15</xdr:col>
      <xdr:colOff>596804</xdr:colOff>
      <xdr:row>6</xdr:row>
      <xdr:rowOff>124272</xdr:rowOff>
    </xdr:from>
    <xdr:to>
      <xdr:col>19</xdr:col>
      <xdr:colOff>333397</xdr:colOff>
      <xdr:row>8</xdr:row>
      <xdr:rowOff>133680</xdr:rowOff>
    </xdr:to>
    <xdr:sp macro="" textlink="">
      <xdr:nvSpPr>
        <xdr:cNvPr id="39" name="TextBox 38">
          <a:extLst>
            <a:ext uri="{FF2B5EF4-FFF2-40B4-BE49-F238E27FC236}">
              <a16:creationId xmlns:a16="http://schemas.microsoft.com/office/drawing/2014/main" id="{E8BC3D2F-8416-489D-9863-5182DB5BE84B}"/>
            </a:ext>
          </a:extLst>
        </xdr:cNvPr>
        <xdr:cNvSpPr txBox="1"/>
      </xdr:nvSpPr>
      <xdr:spPr>
        <a:xfrm>
          <a:off x="10653323" y="1309605"/>
          <a:ext cx="2408296" cy="404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75000"/>
                </a:schemeClr>
              </a:solidFill>
              <a:latin typeface="Arial Black" panose="020B0A04020102020204" pitchFamily="34" charset="0"/>
            </a:rPr>
            <a:t>Attrition</a:t>
          </a:r>
          <a:r>
            <a:rPr lang="en-IN" sz="1400" baseline="0">
              <a:solidFill>
                <a:schemeClr val="accent2">
                  <a:lumMod val="75000"/>
                </a:schemeClr>
              </a:solidFill>
              <a:latin typeface="Arial Black" panose="020B0A04020102020204" pitchFamily="34" charset="0"/>
            </a:rPr>
            <a:t> Rate</a:t>
          </a:r>
          <a:endParaRPr lang="en-IN" sz="1400">
            <a:solidFill>
              <a:schemeClr val="accent2">
                <a:lumMod val="75000"/>
              </a:schemeClr>
            </a:solidFill>
            <a:latin typeface="Arial Black" panose="020B0A04020102020204" pitchFamily="34" charset="0"/>
          </a:endParaRPr>
        </a:p>
      </xdr:txBody>
    </xdr:sp>
    <xdr:clientData/>
  </xdr:twoCellAnchor>
  <xdr:twoCellAnchor>
    <xdr:from>
      <xdr:col>20</xdr:col>
      <xdr:colOff>147130</xdr:colOff>
      <xdr:row>6</xdr:row>
      <xdr:rowOff>88524</xdr:rowOff>
    </xdr:from>
    <xdr:to>
      <xdr:col>23</xdr:col>
      <xdr:colOff>551648</xdr:colOff>
      <xdr:row>8</xdr:row>
      <xdr:rowOff>97932</xdr:rowOff>
    </xdr:to>
    <xdr:sp macro="" textlink="">
      <xdr:nvSpPr>
        <xdr:cNvPr id="40" name="TextBox 39">
          <a:extLst>
            <a:ext uri="{FF2B5EF4-FFF2-40B4-BE49-F238E27FC236}">
              <a16:creationId xmlns:a16="http://schemas.microsoft.com/office/drawing/2014/main" id="{08AE39A0-8C7C-487B-BEA2-76FFB96B12D0}"/>
            </a:ext>
          </a:extLst>
        </xdr:cNvPr>
        <xdr:cNvSpPr txBox="1"/>
      </xdr:nvSpPr>
      <xdr:spPr>
        <a:xfrm>
          <a:off x="13543278" y="1273857"/>
          <a:ext cx="2408296" cy="404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75000"/>
                </a:schemeClr>
              </a:solidFill>
              <a:latin typeface="Arial Black" panose="020B0A04020102020204" pitchFamily="34" charset="0"/>
            </a:rPr>
            <a:t>Average</a:t>
          </a:r>
          <a:r>
            <a:rPr lang="en-IN" sz="1400" baseline="0">
              <a:solidFill>
                <a:schemeClr val="accent2">
                  <a:lumMod val="75000"/>
                </a:schemeClr>
              </a:solidFill>
              <a:latin typeface="Arial Black" panose="020B0A04020102020204" pitchFamily="34" charset="0"/>
            </a:rPr>
            <a:t> Age</a:t>
          </a:r>
          <a:endParaRPr lang="en-IN" sz="1400">
            <a:solidFill>
              <a:schemeClr val="accent2">
                <a:lumMod val="75000"/>
              </a:schemeClr>
            </a:solidFill>
            <a:latin typeface="Arial Black" panose="020B0A04020102020204" pitchFamily="34" charset="0"/>
          </a:endParaRPr>
        </a:p>
      </xdr:txBody>
    </xdr:sp>
    <xdr:clientData/>
  </xdr:twoCellAnchor>
  <xdr:oneCellAnchor>
    <xdr:from>
      <xdr:col>5</xdr:col>
      <xdr:colOff>583260</xdr:colOff>
      <xdr:row>6</xdr:row>
      <xdr:rowOff>103483</xdr:rowOff>
    </xdr:from>
    <xdr:ext cx="724370" cy="583258"/>
    <xdr:pic>
      <xdr:nvPicPr>
        <xdr:cNvPr id="36" name="image4.png">
          <a:extLst>
            <a:ext uri="{FF2B5EF4-FFF2-40B4-BE49-F238E27FC236}">
              <a16:creationId xmlns:a16="http://schemas.microsoft.com/office/drawing/2014/main" id="{3DE4B0F3-E778-4029-AF45-9E5C129D30B7}"/>
            </a:ext>
          </a:extLst>
        </xdr:cNvPr>
        <xdr:cNvPicPr preferRelativeResize="0"/>
      </xdr:nvPicPr>
      <xdr:blipFill>
        <a:blip xmlns:r="http://schemas.openxmlformats.org/officeDocument/2006/relationships" r:embed="rId1" cstate="print"/>
        <a:stretch>
          <a:fillRect/>
        </a:stretch>
      </xdr:blipFill>
      <xdr:spPr>
        <a:xfrm>
          <a:off x="3960519" y="1288816"/>
          <a:ext cx="724370" cy="583258"/>
        </a:xfrm>
        <a:prstGeom prst="rect">
          <a:avLst/>
        </a:prstGeom>
        <a:noFill/>
      </xdr:spPr>
    </xdr:pic>
    <xdr:clientData fLocksWithSheet="0"/>
  </xdr:oneCellAnchor>
  <xdr:oneCellAnchor>
    <xdr:from>
      <xdr:col>14</xdr:col>
      <xdr:colOff>385703</xdr:colOff>
      <xdr:row>6</xdr:row>
      <xdr:rowOff>188149</xdr:rowOff>
    </xdr:from>
    <xdr:ext cx="583260" cy="536222"/>
    <xdr:pic>
      <xdr:nvPicPr>
        <xdr:cNvPr id="37" name="image5.png">
          <a:extLst>
            <a:ext uri="{FF2B5EF4-FFF2-40B4-BE49-F238E27FC236}">
              <a16:creationId xmlns:a16="http://schemas.microsoft.com/office/drawing/2014/main" id="{A648BF31-272F-4EA5-BB6B-0F6C03182AD5}"/>
            </a:ext>
          </a:extLst>
        </xdr:cNvPr>
        <xdr:cNvPicPr preferRelativeResize="0"/>
      </xdr:nvPicPr>
      <xdr:blipFill>
        <a:blip xmlns:r="http://schemas.openxmlformats.org/officeDocument/2006/relationships" r:embed="rId2" cstate="print"/>
        <a:stretch>
          <a:fillRect/>
        </a:stretch>
      </xdr:blipFill>
      <xdr:spPr>
        <a:xfrm>
          <a:off x="9774296" y="1373482"/>
          <a:ext cx="583260" cy="536222"/>
        </a:xfrm>
        <a:prstGeom prst="rect">
          <a:avLst/>
        </a:prstGeom>
        <a:noFill/>
      </xdr:spPr>
    </xdr:pic>
    <xdr:clientData fLocksWithSheet="0"/>
  </xdr:oneCellAnchor>
  <xdr:oneCellAnchor>
    <xdr:from>
      <xdr:col>10</xdr:col>
      <xdr:colOff>159926</xdr:colOff>
      <xdr:row>6</xdr:row>
      <xdr:rowOff>112889</xdr:rowOff>
    </xdr:from>
    <xdr:ext cx="645701" cy="761999"/>
    <xdr:pic>
      <xdr:nvPicPr>
        <xdr:cNvPr id="41" name="image7.png">
          <a:extLst>
            <a:ext uri="{FF2B5EF4-FFF2-40B4-BE49-F238E27FC236}">
              <a16:creationId xmlns:a16="http://schemas.microsoft.com/office/drawing/2014/main" id="{4D168169-A07A-4AB8-8005-5A24139A49F9}"/>
            </a:ext>
          </a:extLst>
        </xdr:cNvPr>
        <xdr:cNvPicPr preferRelativeResize="0"/>
      </xdr:nvPicPr>
      <xdr:blipFill>
        <a:blip xmlns:r="http://schemas.openxmlformats.org/officeDocument/2006/relationships" r:embed="rId3" cstate="print"/>
        <a:stretch>
          <a:fillRect/>
        </a:stretch>
      </xdr:blipFill>
      <xdr:spPr>
        <a:xfrm>
          <a:off x="6876815" y="1298222"/>
          <a:ext cx="645701" cy="761999"/>
        </a:xfrm>
        <a:prstGeom prst="rect">
          <a:avLst/>
        </a:prstGeom>
        <a:noFill/>
      </xdr:spPr>
    </xdr:pic>
    <xdr:clientData fLocksWithSheet="0"/>
  </xdr:oneCellAnchor>
  <xdr:oneCellAnchor>
    <xdr:from>
      <xdr:col>18</xdr:col>
      <xdr:colOff>564444</xdr:colOff>
      <xdr:row>6</xdr:row>
      <xdr:rowOff>103483</xdr:rowOff>
    </xdr:from>
    <xdr:ext cx="555037" cy="686740"/>
    <xdr:pic>
      <xdr:nvPicPr>
        <xdr:cNvPr id="42" name="image2.png">
          <a:extLst>
            <a:ext uri="{FF2B5EF4-FFF2-40B4-BE49-F238E27FC236}">
              <a16:creationId xmlns:a16="http://schemas.microsoft.com/office/drawing/2014/main" id="{5E71687B-729C-4F80-8EE3-480C6500761D}"/>
            </a:ext>
          </a:extLst>
        </xdr:cNvPr>
        <xdr:cNvPicPr preferRelativeResize="0"/>
      </xdr:nvPicPr>
      <xdr:blipFill>
        <a:blip xmlns:r="http://schemas.openxmlformats.org/officeDocument/2006/relationships" r:embed="rId4" cstate="print"/>
        <a:stretch>
          <a:fillRect/>
        </a:stretch>
      </xdr:blipFill>
      <xdr:spPr>
        <a:xfrm>
          <a:off x="12624740" y="1288816"/>
          <a:ext cx="555037" cy="686740"/>
        </a:xfrm>
        <a:prstGeom prst="rect">
          <a:avLst/>
        </a:prstGeom>
        <a:noFill/>
      </xdr:spPr>
    </xdr:pic>
    <xdr:clientData fLocksWithSheet="0"/>
  </xdr:oneCellAnchor>
  <xdr:oneCellAnchor>
    <xdr:from>
      <xdr:col>22</xdr:col>
      <xdr:colOff>385705</xdr:colOff>
      <xdr:row>6</xdr:row>
      <xdr:rowOff>122297</xdr:rowOff>
    </xdr:from>
    <xdr:ext cx="809036" cy="743185"/>
    <xdr:pic>
      <xdr:nvPicPr>
        <xdr:cNvPr id="43" name="image6.png">
          <a:extLst>
            <a:ext uri="{FF2B5EF4-FFF2-40B4-BE49-F238E27FC236}">
              <a16:creationId xmlns:a16="http://schemas.microsoft.com/office/drawing/2014/main" id="{EEDF4C24-DFB7-4137-AE03-71AA28F75637}"/>
            </a:ext>
          </a:extLst>
        </xdr:cNvPr>
        <xdr:cNvPicPr preferRelativeResize="0"/>
      </xdr:nvPicPr>
      <xdr:blipFill>
        <a:blip xmlns:r="http://schemas.openxmlformats.org/officeDocument/2006/relationships" r:embed="rId5" cstate="print"/>
        <a:stretch>
          <a:fillRect/>
        </a:stretch>
      </xdr:blipFill>
      <xdr:spPr>
        <a:xfrm>
          <a:off x="15117705" y="1307630"/>
          <a:ext cx="809036" cy="743185"/>
        </a:xfrm>
        <a:prstGeom prst="rect">
          <a:avLst/>
        </a:prstGeom>
        <a:noFill/>
      </xdr:spPr>
    </xdr:pic>
    <xdr:clientData fLocksWithSheet="0"/>
  </xdr:oneCellAnchor>
  <xdr:twoCellAnchor>
    <xdr:from>
      <xdr:col>5</xdr:col>
      <xdr:colOff>65852</xdr:colOff>
      <xdr:row>1</xdr:row>
      <xdr:rowOff>178740</xdr:rowOff>
    </xdr:from>
    <xdr:to>
      <xdr:col>15</xdr:col>
      <xdr:colOff>630296</xdr:colOff>
      <xdr:row>4</xdr:row>
      <xdr:rowOff>159926</xdr:rowOff>
    </xdr:to>
    <xdr:sp macro="" textlink="">
      <xdr:nvSpPr>
        <xdr:cNvPr id="44" name="TextBox 43">
          <a:extLst>
            <a:ext uri="{FF2B5EF4-FFF2-40B4-BE49-F238E27FC236}">
              <a16:creationId xmlns:a16="http://schemas.microsoft.com/office/drawing/2014/main" id="{D32CD854-5E34-EDC8-0F31-E2927F5EC391}"/>
            </a:ext>
          </a:extLst>
        </xdr:cNvPr>
        <xdr:cNvSpPr txBox="1"/>
      </xdr:nvSpPr>
      <xdr:spPr>
        <a:xfrm>
          <a:off x="3443111" y="376296"/>
          <a:ext cx="7243704" cy="573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Arial Black" panose="020B0A04020102020204" pitchFamily="34" charset="0"/>
            </a:rPr>
            <a:t>HR ANALYTICS DASHBORD</a:t>
          </a:r>
        </a:p>
      </xdr:txBody>
    </xdr:sp>
    <xdr:clientData/>
  </xdr:twoCellAnchor>
  <xdr:oneCellAnchor>
    <xdr:from>
      <xdr:col>3</xdr:col>
      <xdr:colOff>310445</xdr:colOff>
      <xdr:row>2</xdr:row>
      <xdr:rowOff>9408</xdr:rowOff>
    </xdr:from>
    <xdr:ext cx="799629" cy="552097"/>
    <xdr:pic>
      <xdr:nvPicPr>
        <xdr:cNvPr id="45" name="image1.png">
          <a:extLst>
            <a:ext uri="{FF2B5EF4-FFF2-40B4-BE49-F238E27FC236}">
              <a16:creationId xmlns:a16="http://schemas.microsoft.com/office/drawing/2014/main" id="{AA7BA88C-C673-4C50-AFE5-AB0EFA6F7B78}"/>
            </a:ext>
          </a:extLst>
        </xdr:cNvPr>
        <xdr:cNvPicPr preferRelativeResize="0"/>
      </xdr:nvPicPr>
      <xdr:blipFill>
        <a:blip xmlns:r="http://schemas.openxmlformats.org/officeDocument/2006/relationships" r:embed="rId6" cstate="print"/>
        <a:stretch>
          <a:fillRect/>
        </a:stretch>
      </xdr:blipFill>
      <xdr:spPr>
        <a:xfrm>
          <a:off x="2351852" y="404519"/>
          <a:ext cx="799629" cy="552097"/>
        </a:xfrm>
        <a:prstGeom prst="rect">
          <a:avLst/>
        </a:prstGeom>
        <a:noFill/>
      </xdr:spPr>
    </xdr:pic>
    <xdr:clientData fLocksWithSheet="0"/>
  </xdr:oneCellAnchor>
  <xdr:oneCellAnchor>
    <xdr:from>
      <xdr:col>15</xdr:col>
      <xdr:colOff>470369</xdr:colOff>
      <xdr:row>1</xdr:row>
      <xdr:rowOff>131704</xdr:rowOff>
    </xdr:from>
    <xdr:ext cx="723900" cy="628650"/>
    <xdr:pic>
      <xdr:nvPicPr>
        <xdr:cNvPr id="46" name="image3.png">
          <a:extLst>
            <a:ext uri="{FF2B5EF4-FFF2-40B4-BE49-F238E27FC236}">
              <a16:creationId xmlns:a16="http://schemas.microsoft.com/office/drawing/2014/main" id="{CDA479FF-FA57-458A-9C3C-13E09F528D07}"/>
            </a:ext>
          </a:extLst>
        </xdr:cNvPr>
        <xdr:cNvPicPr preferRelativeResize="0"/>
      </xdr:nvPicPr>
      <xdr:blipFill>
        <a:blip xmlns:r="http://schemas.openxmlformats.org/officeDocument/2006/relationships" r:embed="rId7" cstate="print"/>
        <a:stretch>
          <a:fillRect/>
        </a:stretch>
      </xdr:blipFill>
      <xdr:spPr>
        <a:xfrm>
          <a:off x="10526888" y="329260"/>
          <a:ext cx="723900" cy="628650"/>
        </a:xfrm>
        <a:prstGeom prst="rect">
          <a:avLst/>
        </a:prstGeom>
        <a:noFill/>
      </xdr:spPr>
    </xdr:pic>
    <xdr:clientData fLocksWithSheet="0"/>
  </xdr:oneCellAnchor>
  <xdr:twoCellAnchor>
    <xdr:from>
      <xdr:col>16</xdr:col>
      <xdr:colOff>9408</xdr:colOff>
      <xdr:row>1</xdr:row>
      <xdr:rowOff>65851</xdr:rowOff>
    </xdr:from>
    <xdr:to>
      <xdr:col>21</xdr:col>
      <xdr:colOff>498593</xdr:colOff>
      <xdr:row>6</xdr:row>
      <xdr:rowOff>37630</xdr:rowOff>
    </xdr:to>
    <xdr:sp macro="" textlink="">
      <xdr:nvSpPr>
        <xdr:cNvPr id="47" name="TextBox 46">
          <a:extLst>
            <a:ext uri="{FF2B5EF4-FFF2-40B4-BE49-F238E27FC236}">
              <a16:creationId xmlns:a16="http://schemas.microsoft.com/office/drawing/2014/main" id="{7CD26790-EB3D-E6BA-0B93-076A9DC3E3CE}"/>
            </a:ext>
          </a:extLst>
        </xdr:cNvPr>
        <xdr:cNvSpPr txBox="1"/>
      </xdr:nvSpPr>
      <xdr:spPr>
        <a:xfrm>
          <a:off x="10733852" y="263407"/>
          <a:ext cx="3828815" cy="959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Arial Black" panose="020B0A04020102020204" pitchFamily="34" charset="0"/>
            </a:rPr>
            <a:t>JOB </a:t>
          </a:r>
        </a:p>
        <a:p>
          <a:pPr algn="ctr"/>
          <a:r>
            <a:rPr lang="en-IN" sz="1400">
              <a:solidFill>
                <a:srgbClr val="C00000"/>
              </a:solidFill>
              <a:latin typeface="Arial Black" panose="020B0A04020102020204" pitchFamily="34" charset="0"/>
            </a:rPr>
            <a:t>SATISFACTION </a:t>
          </a:r>
        </a:p>
        <a:p>
          <a:pPr algn="ctr"/>
          <a:r>
            <a:rPr lang="en-IN" sz="1400">
              <a:solidFill>
                <a:srgbClr val="C00000"/>
              </a:solidFill>
              <a:latin typeface="Arial Black" panose="020B0A04020102020204" pitchFamily="34" charset="0"/>
            </a:rPr>
            <a:t>RATING</a:t>
          </a:r>
        </a:p>
      </xdr:txBody>
    </xdr:sp>
    <xdr:clientData/>
  </xdr:twoCellAnchor>
  <xdr:twoCellAnchor>
    <xdr:from>
      <xdr:col>19</xdr:col>
      <xdr:colOff>517408</xdr:colOff>
      <xdr:row>0</xdr:row>
      <xdr:rowOff>169333</xdr:rowOff>
    </xdr:from>
    <xdr:to>
      <xdr:col>22</xdr:col>
      <xdr:colOff>28222</xdr:colOff>
      <xdr:row>5</xdr:row>
      <xdr:rowOff>197554</xdr:rowOff>
    </xdr:to>
    <xdr:graphicFrame macro="">
      <xdr:nvGraphicFramePr>
        <xdr:cNvPr id="48" name="Chart 47">
          <a:extLst>
            <a:ext uri="{FF2B5EF4-FFF2-40B4-BE49-F238E27FC236}">
              <a16:creationId xmlns:a16="http://schemas.microsoft.com/office/drawing/2014/main" id="{03413498-1ED8-42DC-A5D0-5F96FEEDB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376296</xdr:colOff>
      <xdr:row>2</xdr:row>
      <xdr:rowOff>122296</xdr:rowOff>
    </xdr:from>
    <xdr:to>
      <xdr:col>21</xdr:col>
      <xdr:colOff>235186</xdr:colOff>
      <xdr:row>4</xdr:row>
      <xdr:rowOff>56445</xdr:rowOff>
    </xdr:to>
    <xdr:sp macro="" textlink="Rating!B6">
      <xdr:nvSpPr>
        <xdr:cNvPr id="49" name="TextBox 48">
          <a:extLst>
            <a:ext uri="{FF2B5EF4-FFF2-40B4-BE49-F238E27FC236}">
              <a16:creationId xmlns:a16="http://schemas.microsoft.com/office/drawing/2014/main" id="{B867C921-8C00-3D90-2F55-F70425802932}"/>
            </a:ext>
          </a:extLst>
        </xdr:cNvPr>
        <xdr:cNvSpPr txBox="1"/>
      </xdr:nvSpPr>
      <xdr:spPr>
        <a:xfrm>
          <a:off x="13772444" y="517407"/>
          <a:ext cx="526816"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6A7E5A-CE02-4E9A-BDF4-4F6EB376C5B8}" type="TxLink">
            <a:rPr lang="en-US" sz="1200" b="0" i="0" u="none" strike="noStrike">
              <a:solidFill>
                <a:srgbClr val="000000"/>
              </a:solidFill>
              <a:latin typeface="Arial Black" panose="020B0A04020102020204" pitchFamily="34" charset="0"/>
              <a:ea typeface="Calibri"/>
              <a:cs typeface="Calibri"/>
            </a:rPr>
            <a:pPr/>
            <a:t>2.6</a:t>
          </a:fld>
          <a:endParaRPr lang="en-IN" sz="1200">
            <a:latin typeface="Arial Black" panose="020B0A04020102020204" pitchFamily="34" charset="0"/>
          </a:endParaRPr>
        </a:p>
      </xdr:txBody>
    </xdr:sp>
    <xdr:clientData/>
  </xdr:twoCellAnchor>
  <xdr:twoCellAnchor>
    <xdr:from>
      <xdr:col>21</xdr:col>
      <xdr:colOff>235185</xdr:colOff>
      <xdr:row>1</xdr:row>
      <xdr:rowOff>150518</xdr:rowOff>
    </xdr:from>
    <xdr:to>
      <xdr:col>23</xdr:col>
      <xdr:colOff>658518</xdr:colOff>
      <xdr:row>4</xdr:row>
      <xdr:rowOff>169334</xdr:rowOff>
    </xdr:to>
    <xdr:graphicFrame macro="">
      <xdr:nvGraphicFramePr>
        <xdr:cNvPr id="51" name="Chart 50">
          <a:extLst>
            <a:ext uri="{FF2B5EF4-FFF2-40B4-BE49-F238E27FC236}">
              <a16:creationId xmlns:a16="http://schemas.microsoft.com/office/drawing/2014/main" id="{1C83E13F-FD5D-4E02-819F-40ECFBB1D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376294</xdr:colOff>
      <xdr:row>2</xdr:row>
      <xdr:rowOff>65854</xdr:rowOff>
    </xdr:from>
    <xdr:to>
      <xdr:col>23</xdr:col>
      <xdr:colOff>583258</xdr:colOff>
      <xdr:row>4</xdr:row>
      <xdr:rowOff>37631</xdr:rowOff>
    </xdr:to>
    <xdr:sp macro="" textlink="">
      <xdr:nvSpPr>
        <xdr:cNvPr id="52" name="Freeform: Shape 51">
          <a:extLst>
            <a:ext uri="{FF2B5EF4-FFF2-40B4-BE49-F238E27FC236}">
              <a16:creationId xmlns:a16="http://schemas.microsoft.com/office/drawing/2014/main" id="{9BB2C4D0-7AD6-B810-2A30-95FA4BB1E4F6}"/>
            </a:ext>
          </a:extLst>
        </xdr:cNvPr>
        <xdr:cNvSpPr/>
      </xdr:nvSpPr>
      <xdr:spPr>
        <a:xfrm>
          <a:off x="14440368" y="460965"/>
          <a:ext cx="1542816" cy="366888"/>
        </a:xfrm>
        <a:custGeom>
          <a:avLst/>
          <a:gdLst>
            <a:gd name="csX0" fmla="*/ 892277 w 2379410"/>
            <a:gd name="csY0" fmla="*/ 14746 h 594849"/>
            <a:gd name="csX1" fmla="*/ 822065 w 2379410"/>
            <a:gd name="csY1" fmla="*/ 230695 h 594849"/>
            <a:gd name="csX2" fmla="*/ 594852 w 2379410"/>
            <a:gd name="csY2" fmla="*/ 230693 h 594849"/>
            <a:gd name="csX3" fmla="*/ 778672 w 2379410"/>
            <a:gd name="csY3" fmla="*/ 364156 h 594849"/>
            <a:gd name="csX4" fmla="*/ 708458 w 2379410"/>
            <a:gd name="csY4" fmla="*/ 580104 h 594849"/>
            <a:gd name="csX5" fmla="*/ 892277 w 2379410"/>
            <a:gd name="csY5" fmla="*/ 446639 h 594849"/>
            <a:gd name="csX6" fmla="*/ 1076096 w 2379410"/>
            <a:gd name="csY6" fmla="*/ 580104 h 594849"/>
            <a:gd name="csX7" fmla="*/ 1005882 w 2379410"/>
            <a:gd name="csY7" fmla="*/ 364156 h 594849"/>
            <a:gd name="csX8" fmla="*/ 1189702 w 2379410"/>
            <a:gd name="csY8" fmla="*/ 230693 h 594849"/>
            <a:gd name="csX9" fmla="*/ 962489 w 2379410"/>
            <a:gd name="csY9" fmla="*/ 230695 h 594849"/>
            <a:gd name="csX10" fmla="*/ 1487129 w 2379410"/>
            <a:gd name="csY10" fmla="*/ 1 h 594849"/>
            <a:gd name="csX11" fmla="*/ 1416917 w 2379410"/>
            <a:gd name="csY11" fmla="*/ 221582 h 594849"/>
            <a:gd name="csX12" fmla="*/ 1189704 w 2379410"/>
            <a:gd name="csY12" fmla="*/ 221580 h 594849"/>
            <a:gd name="csX13" fmla="*/ 1373524 w 2379410"/>
            <a:gd name="csY13" fmla="*/ 358523 h 594849"/>
            <a:gd name="csX14" fmla="*/ 1303310 w 2379410"/>
            <a:gd name="csY14" fmla="*/ 580103 h 594849"/>
            <a:gd name="csX15" fmla="*/ 1487129 w 2379410"/>
            <a:gd name="csY15" fmla="*/ 443157 h 594849"/>
            <a:gd name="csX16" fmla="*/ 1670948 w 2379410"/>
            <a:gd name="csY16" fmla="*/ 580103 h 594849"/>
            <a:gd name="csX17" fmla="*/ 1600734 w 2379410"/>
            <a:gd name="csY17" fmla="*/ 358523 h 594849"/>
            <a:gd name="csX18" fmla="*/ 1784554 w 2379410"/>
            <a:gd name="csY18" fmla="*/ 221580 h 594849"/>
            <a:gd name="csX19" fmla="*/ 1557341 w 2379410"/>
            <a:gd name="csY19" fmla="*/ 221582 h 594849"/>
            <a:gd name="csX20" fmla="*/ 0 w 2379410"/>
            <a:gd name="csY20" fmla="*/ 0 h 594849"/>
            <a:gd name="csX21" fmla="*/ 2081983 w 2379410"/>
            <a:gd name="csY21" fmla="*/ 0 h 594849"/>
            <a:gd name="csX22" fmla="*/ 2011771 w 2379410"/>
            <a:gd name="csY22" fmla="*/ 221581 h 594849"/>
            <a:gd name="csX23" fmla="*/ 1784557 w 2379410"/>
            <a:gd name="csY23" fmla="*/ 221579 h 594849"/>
            <a:gd name="csX24" fmla="*/ 1968378 w 2379410"/>
            <a:gd name="csY24" fmla="*/ 358522 h 594849"/>
            <a:gd name="csX25" fmla="*/ 1898163 w 2379410"/>
            <a:gd name="csY25" fmla="*/ 580102 h 594849"/>
            <a:gd name="csX26" fmla="*/ 2081983 w 2379410"/>
            <a:gd name="csY26" fmla="*/ 443156 h 594849"/>
            <a:gd name="csX27" fmla="*/ 2265802 w 2379410"/>
            <a:gd name="csY27" fmla="*/ 580102 h 594849"/>
            <a:gd name="csX28" fmla="*/ 2195587 w 2379410"/>
            <a:gd name="csY28" fmla="*/ 358522 h 594849"/>
            <a:gd name="csX29" fmla="*/ 2379408 w 2379410"/>
            <a:gd name="csY29" fmla="*/ 221579 h 594849"/>
            <a:gd name="csX30" fmla="*/ 2152194 w 2379410"/>
            <a:gd name="csY30" fmla="*/ 221581 h 594849"/>
            <a:gd name="csX31" fmla="*/ 2081983 w 2379410"/>
            <a:gd name="csY31" fmla="*/ 0 h 594849"/>
            <a:gd name="csX32" fmla="*/ 2379410 w 2379410"/>
            <a:gd name="csY32" fmla="*/ 0 h 594849"/>
            <a:gd name="csX33" fmla="*/ 2379410 w 2379410"/>
            <a:gd name="csY33" fmla="*/ 594849 h 594849"/>
            <a:gd name="csX34" fmla="*/ 0 w 2379410"/>
            <a:gd name="csY34" fmla="*/ 594849 h 594849"/>
            <a:gd name="csX35" fmla="*/ 0 w 2379410"/>
            <a:gd name="csY35" fmla="*/ 236325 h 594849"/>
            <a:gd name="csX36" fmla="*/ 183820 w 2379410"/>
            <a:gd name="csY36" fmla="*/ 373268 h 594849"/>
            <a:gd name="csX37" fmla="*/ 113606 w 2379410"/>
            <a:gd name="csY37" fmla="*/ 594848 h 594849"/>
            <a:gd name="csX38" fmla="*/ 297425 w 2379410"/>
            <a:gd name="csY38" fmla="*/ 457902 h 594849"/>
            <a:gd name="csX39" fmla="*/ 481244 w 2379410"/>
            <a:gd name="csY39" fmla="*/ 594848 h 594849"/>
            <a:gd name="csX40" fmla="*/ 411030 w 2379410"/>
            <a:gd name="csY40" fmla="*/ 373268 h 594849"/>
            <a:gd name="csX41" fmla="*/ 594850 w 2379410"/>
            <a:gd name="csY41" fmla="*/ 236325 h 594849"/>
            <a:gd name="csX42" fmla="*/ 367637 w 2379410"/>
            <a:gd name="csY42" fmla="*/ 236327 h 594849"/>
            <a:gd name="csX43" fmla="*/ 297425 w 2379410"/>
            <a:gd name="csY43" fmla="*/ 14746 h 594849"/>
            <a:gd name="csX44" fmla="*/ 227213 w 2379410"/>
            <a:gd name="csY44" fmla="*/ 236327 h 594849"/>
            <a:gd name="csX45" fmla="*/ 0 w 2379410"/>
            <a:gd name="csY45" fmla="*/ 236325 h 5948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Lst>
          <a:rect l="l" t="t" r="r" b="b"/>
          <a:pathLst>
            <a:path w="2379410" h="594849">
              <a:moveTo>
                <a:pt x="892277" y="14746"/>
              </a:moveTo>
              <a:lnTo>
                <a:pt x="822065" y="230695"/>
              </a:lnTo>
              <a:lnTo>
                <a:pt x="594852" y="230693"/>
              </a:lnTo>
              <a:lnTo>
                <a:pt x="778672" y="364156"/>
              </a:lnTo>
              <a:lnTo>
                <a:pt x="708458" y="580104"/>
              </a:lnTo>
              <a:lnTo>
                <a:pt x="892277" y="446639"/>
              </a:lnTo>
              <a:lnTo>
                <a:pt x="1076096" y="580104"/>
              </a:lnTo>
              <a:lnTo>
                <a:pt x="1005882" y="364156"/>
              </a:lnTo>
              <a:lnTo>
                <a:pt x="1189702" y="230693"/>
              </a:lnTo>
              <a:lnTo>
                <a:pt x="962489" y="230695"/>
              </a:lnTo>
              <a:close/>
              <a:moveTo>
                <a:pt x="1487129" y="1"/>
              </a:moveTo>
              <a:lnTo>
                <a:pt x="1416917" y="221582"/>
              </a:lnTo>
              <a:lnTo>
                <a:pt x="1189704" y="221580"/>
              </a:lnTo>
              <a:lnTo>
                <a:pt x="1373524" y="358523"/>
              </a:lnTo>
              <a:lnTo>
                <a:pt x="1303310" y="580103"/>
              </a:lnTo>
              <a:lnTo>
                <a:pt x="1487129" y="443157"/>
              </a:lnTo>
              <a:lnTo>
                <a:pt x="1670948" y="580103"/>
              </a:lnTo>
              <a:lnTo>
                <a:pt x="1600734" y="358523"/>
              </a:lnTo>
              <a:lnTo>
                <a:pt x="1784554" y="221580"/>
              </a:lnTo>
              <a:lnTo>
                <a:pt x="1557341" y="221582"/>
              </a:lnTo>
              <a:close/>
              <a:moveTo>
                <a:pt x="0" y="0"/>
              </a:moveTo>
              <a:lnTo>
                <a:pt x="2081983" y="0"/>
              </a:lnTo>
              <a:lnTo>
                <a:pt x="2011771" y="221581"/>
              </a:lnTo>
              <a:lnTo>
                <a:pt x="1784557" y="221579"/>
              </a:lnTo>
              <a:lnTo>
                <a:pt x="1968378" y="358522"/>
              </a:lnTo>
              <a:lnTo>
                <a:pt x="1898163" y="580102"/>
              </a:lnTo>
              <a:lnTo>
                <a:pt x="2081983" y="443156"/>
              </a:lnTo>
              <a:lnTo>
                <a:pt x="2265802" y="580102"/>
              </a:lnTo>
              <a:lnTo>
                <a:pt x="2195587" y="358522"/>
              </a:lnTo>
              <a:lnTo>
                <a:pt x="2379408" y="221579"/>
              </a:lnTo>
              <a:lnTo>
                <a:pt x="2152194" y="221581"/>
              </a:lnTo>
              <a:lnTo>
                <a:pt x="2081983" y="0"/>
              </a:lnTo>
              <a:lnTo>
                <a:pt x="2379410" y="0"/>
              </a:lnTo>
              <a:lnTo>
                <a:pt x="2379410" y="594849"/>
              </a:lnTo>
              <a:lnTo>
                <a:pt x="0" y="594849"/>
              </a:lnTo>
              <a:lnTo>
                <a:pt x="0" y="236325"/>
              </a:lnTo>
              <a:lnTo>
                <a:pt x="183820" y="373268"/>
              </a:lnTo>
              <a:lnTo>
                <a:pt x="113606" y="594848"/>
              </a:lnTo>
              <a:lnTo>
                <a:pt x="297425" y="457902"/>
              </a:lnTo>
              <a:lnTo>
                <a:pt x="481244" y="594848"/>
              </a:lnTo>
              <a:lnTo>
                <a:pt x="411030" y="373268"/>
              </a:lnTo>
              <a:lnTo>
                <a:pt x="594850" y="236325"/>
              </a:lnTo>
              <a:lnTo>
                <a:pt x="367637" y="236327"/>
              </a:lnTo>
              <a:lnTo>
                <a:pt x="297425" y="14746"/>
              </a:lnTo>
              <a:lnTo>
                <a:pt x="227213" y="236327"/>
              </a:lnTo>
              <a:lnTo>
                <a:pt x="0" y="236325"/>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112889</xdr:colOff>
      <xdr:row>17</xdr:row>
      <xdr:rowOff>84667</xdr:rowOff>
    </xdr:from>
    <xdr:to>
      <xdr:col>9</xdr:col>
      <xdr:colOff>104525</xdr:colOff>
      <xdr:row>24</xdr:row>
      <xdr:rowOff>141778</xdr:rowOff>
    </xdr:to>
    <xdr:grpSp>
      <xdr:nvGrpSpPr>
        <xdr:cNvPr id="66" name="Group 65">
          <a:extLst>
            <a:ext uri="{FF2B5EF4-FFF2-40B4-BE49-F238E27FC236}">
              <a16:creationId xmlns:a16="http://schemas.microsoft.com/office/drawing/2014/main" id="{FF41EE1C-EAC1-1B36-A931-9E9F0D610317}"/>
            </a:ext>
          </a:extLst>
        </xdr:cNvPr>
        <xdr:cNvGrpSpPr/>
      </xdr:nvGrpSpPr>
      <xdr:grpSpPr>
        <a:xfrm>
          <a:off x="2166976" y="3463971"/>
          <a:ext cx="4016984" cy="1448590"/>
          <a:chOff x="2154296" y="3443111"/>
          <a:chExt cx="3999192" cy="1440000"/>
        </a:xfrm>
      </xdr:grpSpPr>
      <xdr:graphicFrame macro="">
        <xdr:nvGraphicFramePr>
          <xdr:cNvPr id="54" name="Chart 53">
            <a:extLst>
              <a:ext uri="{FF2B5EF4-FFF2-40B4-BE49-F238E27FC236}">
                <a16:creationId xmlns:a16="http://schemas.microsoft.com/office/drawing/2014/main" id="{D4D2D638-5CC3-4B9D-98B0-FE941F1E47DE}"/>
              </a:ext>
            </a:extLst>
          </xdr:cNvPr>
          <xdr:cNvGraphicFramePr>
            <a:graphicFrameLocks/>
          </xdr:cNvGraphicFramePr>
        </xdr:nvGraphicFramePr>
        <xdr:xfrm>
          <a:off x="2154296" y="3443111"/>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5" name="Chart 54">
            <a:extLst>
              <a:ext uri="{FF2B5EF4-FFF2-40B4-BE49-F238E27FC236}">
                <a16:creationId xmlns:a16="http://schemas.microsoft.com/office/drawing/2014/main" id="{5DD47A8E-0492-497B-B49E-FEE04BDBFB2C}"/>
              </a:ext>
            </a:extLst>
          </xdr:cNvPr>
          <xdr:cNvGraphicFramePr>
            <a:graphicFrameLocks/>
          </xdr:cNvGraphicFramePr>
        </xdr:nvGraphicFramePr>
        <xdr:xfrm>
          <a:off x="4713488" y="3443111"/>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1" name="Graphic 60" descr="Male profile with solid fill">
            <a:extLst>
              <a:ext uri="{FF2B5EF4-FFF2-40B4-BE49-F238E27FC236}">
                <a16:creationId xmlns:a16="http://schemas.microsoft.com/office/drawing/2014/main" id="{823A963D-DBCA-78C9-29DC-FC4E0036439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73407" y="3631260"/>
            <a:ext cx="790223" cy="846666"/>
          </a:xfrm>
          <a:prstGeom prst="rect">
            <a:avLst/>
          </a:prstGeom>
        </xdr:spPr>
      </xdr:pic>
      <xdr:pic>
        <xdr:nvPicPr>
          <xdr:cNvPr id="63" name="Graphic 62" descr="Female Profile with solid fill">
            <a:extLst>
              <a:ext uri="{FF2B5EF4-FFF2-40B4-BE49-F238E27FC236}">
                <a16:creationId xmlns:a16="http://schemas.microsoft.com/office/drawing/2014/main" id="{CBE9DAE8-433B-AA37-2BE3-2A6775DA575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71333" y="3650074"/>
            <a:ext cx="724370" cy="809037"/>
          </a:xfrm>
          <a:prstGeom prst="rect">
            <a:avLst/>
          </a:prstGeom>
        </xdr:spPr>
      </xdr:pic>
      <xdr:sp macro="" textlink="Gender!$B$11">
        <xdr:nvSpPr>
          <xdr:cNvPr id="64" name="TextBox 63">
            <a:extLst>
              <a:ext uri="{FF2B5EF4-FFF2-40B4-BE49-F238E27FC236}">
                <a16:creationId xmlns:a16="http://schemas.microsoft.com/office/drawing/2014/main" id="{FDE4B163-5B78-45C2-987E-0B07C10485D6}"/>
              </a:ext>
            </a:extLst>
          </xdr:cNvPr>
          <xdr:cNvSpPr txBox="1"/>
        </xdr:nvSpPr>
        <xdr:spPr>
          <a:xfrm>
            <a:off x="2605850" y="3951111"/>
            <a:ext cx="611484"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BAEBB4-4AB1-41AC-8985-77000757DC07}" type="TxLink">
              <a:rPr lang="en-US" sz="1600" b="0" i="0" u="none" strike="noStrike">
                <a:solidFill>
                  <a:srgbClr val="000000"/>
                </a:solidFill>
                <a:latin typeface="Arial Black" panose="020B0A04020102020204" pitchFamily="34" charset="0"/>
                <a:ea typeface="Calibri"/>
                <a:cs typeface="Calibri"/>
              </a:rPr>
              <a:pPr/>
              <a:t>588</a:t>
            </a:fld>
            <a:endParaRPr lang="en-IN" sz="1600">
              <a:latin typeface="Arial Black" panose="020B0A04020102020204" pitchFamily="34" charset="0"/>
            </a:endParaRPr>
          </a:p>
        </xdr:txBody>
      </xdr:sp>
      <xdr:sp macro="" textlink="Gender!$B$12">
        <xdr:nvSpPr>
          <xdr:cNvPr id="65" name="TextBox 64">
            <a:extLst>
              <a:ext uri="{FF2B5EF4-FFF2-40B4-BE49-F238E27FC236}">
                <a16:creationId xmlns:a16="http://schemas.microsoft.com/office/drawing/2014/main" id="{2D64F82D-71FC-489F-834F-D9358F4F8576}"/>
              </a:ext>
            </a:extLst>
          </xdr:cNvPr>
          <xdr:cNvSpPr txBox="1"/>
        </xdr:nvSpPr>
        <xdr:spPr>
          <a:xfrm>
            <a:off x="5127037" y="3951111"/>
            <a:ext cx="611482"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4A0135-7C51-4AED-B4AD-92C31F9CE8C3}" type="TxLink">
              <a:rPr lang="en-US" sz="1600" b="0" i="0" u="none" strike="noStrike">
                <a:solidFill>
                  <a:srgbClr val="000000"/>
                </a:solidFill>
                <a:latin typeface="Arial Black" panose="020B0A04020102020204" pitchFamily="34" charset="0"/>
                <a:ea typeface="Calibri"/>
                <a:cs typeface="Calibri"/>
              </a:rPr>
              <a:pPr/>
              <a:t>882</a:t>
            </a:fld>
            <a:endParaRPr lang="en-IN" sz="1600">
              <a:latin typeface="Arial Black" panose="020B0A04020102020204" pitchFamily="34" charset="0"/>
            </a:endParaRPr>
          </a:p>
        </xdr:txBody>
      </xdr:sp>
    </xdr:grpSp>
    <xdr:clientData/>
  </xdr:twoCellAnchor>
  <xdr:twoCellAnchor>
    <xdr:from>
      <xdr:col>3</xdr:col>
      <xdr:colOff>385704</xdr:colOff>
      <xdr:row>11</xdr:row>
      <xdr:rowOff>75261</xdr:rowOff>
    </xdr:from>
    <xdr:to>
      <xdr:col>8</xdr:col>
      <xdr:colOff>649111</xdr:colOff>
      <xdr:row>13</xdr:row>
      <xdr:rowOff>28222</xdr:rowOff>
    </xdr:to>
    <xdr:sp macro="" textlink="">
      <xdr:nvSpPr>
        <xdr:cNvPr id="67" name="TextBox 66">
          <a:extLst>
            <a:ext uri="{FF2B5EF4-FFF2-40B4-BE49-F238E27FC236}">
              <a16:creationId xmlns:a16="http://schemas.microsoft.com/office/drawing/2014/main" id="{A1960828-5967-8DF8-61A0-9D9AA978CD5A}"/>
            </a:ext>
          </a:extLst>
        </xdr:cNvPr>
        <xdr:cNvSpPr txBox="1"/>
      </xdr:nvSpPr>
      <xdr:spPr>
        <a:xfrm>
          <a:off x="2427111" y="2248372"/>
          <a:ext cx="3603037"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Total Employees</a:t>
          </a:r>
          <a:r>
            <a:rPr lang="en-IN" sz="1600" baseline="0">
              <a:solidFill>
                <a:srgbClr val="FF0000"/>
              </a:solidFill>
              <a:latin typeface="Arial Black" panose="020B0A04020102020204" pitchFamily="34" charset="0"/>
            </a:rPr>
            <a:t> by Gender</a:t>
          </a:r>
          <a:endParaRPr lang="en-IN" sz="1600">
            <a:solidFill>
              <a:srgbClr val="FF0000"/>
            </a:solidFill>
            <a:latin typeface="Arial Black" panose="020B0A04020102020204" pitchFamily="34" charset="0"/>
          </a:endParaRPr>
        </a:p>
      </xdr:txBody>
    </xdr:sp>
    <xdr:clientData/>
  </xdr:twoCellAnchor>
  <xdr:twoCellAnchor editAs="oneCell">
    <xdr:from>
      <xdr:col>5</xdr:col>
      <xdr:colOff>28223</xdr:colOff>
      <xdr:row>14</xdr:row>
      <xdr:rowOff>103482</xdr:rowOff>
    </xdr:from>
    <xdr:to>
      <xdr:col>7</xdr:col>
      <xdr:colOff>521171</xdr:colOff>
      <xdr:row>17</xdr:row>
      <xdr:rowOff>159927</xdr:rowOff>
    </xdr:to>
    <mc:AlternateContent xmlns:mc="http://schemas.openxmlformats.org/markup-compatibility/2006" xmlns:a14="http://schemas.microsoft.com/office/drawing/2010/main">
      <mc:Choice Requires="a14">
        <xdr:graphicFrame macro="">
          <xdr:nvGraphicFramePr>
            <xdr:cNvPr id="68" name="Gender 3">
              <a:extLst>
                <a:ext uri="{FF2B5EF4-FFF2-40B4-BE49-F238E27FC236}">
                  <a16:creationId xmlns:a16="http://schemas.microsoft.com/office/drawing/2014/main" id="{77877AEB-2B59-41FE-AE44-657BE40EBB8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405482" y="2869260"/>
              <a:ext cx="1828800" cy="649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479778</xdr:colOff>
      <xdr:row>13</xdr:row>
      <xdr:rowOff>47037</xdr:rowOff>
    </xdr:from>
    <xdr:to>
      <xdr:col>16</xdr:col>
      <xdr:colOff>517408</xdr:colOff>
      <xdr:row>25</xdr:row>
      <xdr:rowOff>84667</xdr:rowOff>
    </xdr:to>
    <xdr:graphicFrame macro="">
      <xdr:nvGraphicFramePr>
        <xdr:cNvPr id="69" name="Chart 68">
          <a:extLst>
            <a:ext uri="{FF2B5EF4-FFF2-40B4-BE49-F238E27FC236}">
              <a16:creationId xmlns:a16="http://schemas.microsoft.com/office/drawing/2014/main" id="{34511BA9-6FE0-409D-85F2-AF138547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9407</xdr:colOff>
      <xdr:row>11</xdr:row>
      <xdr:rowOff>84668</xdr:rowOff>
    </xdr:from>
    <xdr:to>
      <xdr:col>16</xdr:col>
      <xdr:colOff>244593</xdr:colOff>
      <xdr:row>13</xdr:row>
      <xdr:rowOff>37629</xdr:rowOff>
    </xdr:to>
    <xdr:sp macro="" textlink="">
      <xdr:nvSpPr>
        <xdr:cNvPr id="71" name="TextBox 70">
          <a:extLst>
            <a:ext uri="{FF2B5EF4-FFF2-40B4-BE49-F238E27FC236}">
              <a16:creationId xmlns:a16="http://schemas.microsoft.com/office/drawing/2014/main" id="{4FA39B9D-57FF-405B-A548-6A798D73B112}"/>
            </a:ext>
          </a:extLst>
        </xdr:cNvPr>
        <xdr:cNvSpPr txBox="1"/>
      </xdr:nvSpPr>
      <xdr:spPr>
        <a:xfrm>
          <a:off x="6726296" y="2257779"/>
          <a:ext cx="4242741"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Education</a:t>
          </a:r>
          <a:r>
            <a:rPr lang="en-IN" sz="1600" baseline="0">
              <a:solidFill>
                <a:srgbClr val="FF0000"/>
              </a:solidFill>
              <a:latin typeface="Arial Black" panose="020B0A04020102020204" pitchFamily="34" charset="0"/>
            </a:rPr>
            <a:t> wise Attrition</a:t>
          </a:r>
          <a:endParaRPr lang="en-IN" sz="1600">
            <a:solidFill>
              <a:srgbClr val="FF0000"/>
            </a:solidFill>
            <a:latin typeface="Arial Black" panose="020B0A04020102020204" pitchFamily="34" charset="0"/>
          </a:endParaRPr>
        </a:p>
      </xdr:txBody>
    </xdr:sp>
    <xdr:clientData/>
  </xdr:twoCellAnchor>
  <xdr:twoCellAnchor>
    <xdr:from>
      <xdr:col>17</xdr:col>
      <xdr:colOff>141112</xdr:colOff>
      <xdr:row>13</xdr:row>
      <xdr:rowOff>159926</xdr:rowOff>
    </xdr:from>
    <xdr:to>
      <xdr:col>23</xdr:col>
      <xdr:colOff>573852</xdr:colOff>
      <xdr:row>25</xdr:row>
      <xdr:rowOff>28221</xdr:rowOff>
    </xdr:to>
    <mc:AlternateContent xmlns:mc="http://schemas.openxmlformats.org/markup-compatibility/2006">
      <mc:Choice xmlns:cx1="http://schemas.microsoft.com/office/drawing/2015/9/8/chartex" Requires="cx1">
        <xdr:graphicFrame macro="">
          <xdr:nvGraphicFramePr>
            <xdr:cNvPr id="72" name="Chart 71">
              <a:extLst>
                <a:ext uri="{FF2B5EF4-FFF2-40B4-BE49-F238E27FC236}">
                  <a16:creationId xmlns:a16="http://schemas.microsoft.com/office/drawing/2014/main" id="{B30E0CE1-D809-449B-A01A-E57CCAF439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78732" y="2735486"/>
              <a:ext cx="4456100" cy="22457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302919</xdr:colOff>
      <xdr:row>11</xdr:row>
      <xdr:rowOff>58328</xdr:rowOff>
    </xdr:from>
    <xdr:to>
      <xdr:col>23</xdr:col>
      <xdr:colOff>538104</xdr:colOff>
      <xdr:row>13</xdr:row>
      <xdr:rowOff>11289</xdr:rowOff>
    </xdr:to>
    <xdr:sp macro="" textlink="">
      <xdr:nvSpPr>
        <xdr:cNvPr id="73" name="TextBox 72">
          <a:extLst>
            <a:ext uri="{FF2B5EF4-FFF2-40B4-BE49-F238E27FC236}">
              <a16:creationId xmlns:a16="http://schemas.microsoft.com/office/drawing/2014/main" id="{3F8B2DB8-863D-4153-878F-74379A130AF3}"/>
            </a:ext>
          </a:extLst>
        </xdr:cNvPr>
        <xdr:cNvSpPr txBox="1"/>
      </xdr:nvSpPr>
      <xdr:spPr>
        <a:xfrm>
          <a:off x="11695289" y="2231439"/>
          <a:ext cx="4242741"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Attrition</a:t>
          </a:r>
          <a:r>
            <a:rPr lang="en-IN" sz="1600" baseline="0">
              <a:solidFill>
                <a:srgbClr val="FF0000"/>
              </a:solidFill>
              <a:latin typeface="Arial Black" panose="020B0A04020102020204" pitchFamily="34" charset="0"/>
            </a:rPr>
            <a:t> by Job</a:t>
          </a:r>
          <a:endParaRPr lang="en-IN" sz="1600">
            <a:solidFill>
              <a:srgbClr val="FF0000"/>
            </a:solidFill>
            <a:latin typeface="Arial Black" panose="020B0A04020102020204" pitchFamily="34" charset="0"/>
          </a:endParaRPr>
        </a:p>
      </xdr:txBody>
    </xdr:sp>
    <xdr:clientData/>
  </xdr:twoCellAnchor>
  <xdr:twoCellAnchor>
    <xdr:from>
      <xdr:col>3</xdr:col>
      <xdr:colOff>103483</xdr:colOff>
      <xdr:row>27</xdr:row>
      <xdr:rowOff>103481</xdr:rowOff>
    </xdr:from>
    <xdr:to>
      <xdr:col>9</xdr:col>
      <xdr:colOff>169333</xdr:colOff>
      <xdr:row>39</xdr:row>
      <xdr:rowOff>56444</xdr:rowOff>
    </xdr:to>
    <xdr:graphicFrame macro="">
      <xdr:nvGraphicFramePr>
        <xdr:cNvPr id="74" name="Chart 73">
          <a:extLst>
            <a:ext uri="{FF2B5EF4-FFF2-40B4-BE49-F238E27FC236}">
              <a16:creationId xmlns:a16="http://schemas.microsoft.com/office/drawing/2014/main" id="{CE45A96D-319D-459A-8386-22958589A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272815</xdr:colOff>
      <xdr:row>25</xdr:row>
      <xdr:rowOff>122296</xdr:rowOff>
    </xdr:from>
    <xdr:to>
      <xdr:col>8</xdr:col>
      <xdr:colOff>536222</xdr:colOff>
      <xdr:row>27</xdr:row>
      <xdr:rowOff>75257</xdr:rowOff>
    </xdr:to>
    <xdr:sp macro="" textlink="">
      <xdr:nvSpPr>
        <xdr:cNvPr id="75" name="TextBox 74">
          <a:extLst>
            <a:ext uri="{FF2B5EF4-FFF2-40B4-BE49-F238E27FC236}">
              <a16:creationId xmlns:a16="http://schemas.microsoft.com/office/drawing/2014/main" id="{A7566727-AF42-43BB-8006-ED2C3D4159BE}"/>
            </a:ext>
          </a:extLst>
        </xdr:cNvPr>
        <xdr:cNvSpPr txBox="1"/>
      </xdr:nvSpPr>
      <xdr:spPr>
        <a:xfrm>
          <a:off x="2314222" y="5061185"/>
          <a:ext cx="3603037"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Department</a:t>
          </a:r>
          <a:r>
            <a:rPr lang="en-IN" sz="1600" baseline="0">
              <a:solidFill>
                <a:srgbClr val="FF0000"/>
              </a:solidFill>
              <a:latin typeface="Arial Black" panose="020B0A04020102020204" pitchFamily="34" charset="0"/>
            </a:rPr>
            <a:t> wise Attrition</a:t>
          </a:r>
          <a:endParaRPr lang="en-IN" sz="1600">
            <a:solidFill>
              <a:srgbClr val="FF0000"/>
            </a:solidFill>
            <a:latin typeface="Arial Black" panose="020B0A04020102020204" pitchFamily="34" charset="0"/>
          </a:endParaRPr>
        </a:p>
      </xdr:txBody>
    </xdr:sp>
    <xdr:clientData/>
  </xdr:twoCellAnchor>
  <xdr:twoCellAnchor>
    <xdr:from>
      <xdr:col>9</xdr:col>
      <xdr:colOff>244592</xdr:colOff>
      <xdr:row>27</xdr:row>
      <xdr:rowOff>94075</xdr:rowOff>
    </xdr:from>
    <xdr:to>
      <xdr:col>14</xdr:col>
      <xdr:colOff>658517</xdr:colOff>
      <xdr:row>39</xdr:row>
      <xdr:rowOff>56445</xdr:rowOff>
    </xdr:to>
    <xdr:graphicFrame macro="">
      <xdr:nvGraphicFramePr>
        <xdr:cNvPr id="50" name="Chart 49">
          <a:extLst>
            <a:ext uri="{FF2B5EF4-FFF2-40B4-BE49-F238E27FC236}">
              <a16:creationId xmlns:a16="http://schemas.microsoft.com/office/drawing/2014/main" id="{2CACE30A-32F4-423D-A0BA-B5B5509E3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585140</xdr:colOff>
      <xdr:row>25</xdr:row>
      <xdr:rowOff>124178</xdr:rowOff>
    </xdr:from>
    <xdr:to>
      <xdr:col>15</xdr:col>
      <xdr:colOff>180621</xdr:colOff>
      <xdr:row>27</xdr:row>
      <xdr:rowOff>77139</xdr:rowOff>
    </xdr:to>
    <xdr:sp macro="" textlink="">
      <xdr:nvSpPr>
        <xdr:cNvPr id="53" name="TextBox 52">
          <a:extLst>
            <a:ext uri="{FF2B5EF4-FFF2-40B4-BE49-F238E27FC236}">
              <a16:creationId xmlns:a16="http://schemas.microsoft.com/office/drawing/2014/main" id="{53CB07A6-E9B7-4111-9BCD-A3966875F57D}"/>
            </a:ext>
          </a:extLst>
        </xdr:cNvPr>
        <xdr:cNvSpPr txBox="1"/>
      </xdr:nvSpPr>
      <xdr:spPr>
        <a:xfrm>
          <a:off x="6634103" y="5063067"/>
          <a:ext cx="3603037"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Attrition</a:t>
          </a:r>
          <a:r>
            <a:rPr lang="en-IN" sz="1600" baseline="0">
              <a:solidFill>
                <a:srgbClr val="FF0000"/>
              </a:solidFill>
              <a:latin typeface="Arial Black" panose="020B0A04020102020204" pitchFamily="34" charset="0"/>
            </a:rPr>
            <a:t> by Age Group</a:t>
          </a:r>
          <a:endParaRPr lang="en-IN" sz="1600">
            <a:solidFill>
              <a:srgbClr val="FF0000"/>
            </a:solidFill>
            <a:latin typeface="Arial Black" panose="020B0A04020102020204" pitchFamily="34" charset="0"/>
          </a:endParaRPr>
        </a:p>
      </xdr:txBody>
    </xdr:sp>
    <xdr:clientData/>
  </xdr:twoCellAnchor>
  <xdr:twoCellAnchor>
    <xdr:from>
      <xdr:col>15</xdr:col>
      <xdr:colOff>103480</xdr:colOff>
      <xdr:row>28</xdr:row>
      <xdr:rowOff>37629</xdr:rowOff>
    </xdr:from>
    <xdr:to>
      <xdr:col>19</xdr:col>
      <xdr:colOff>404518</xdr:colOff>
      <xdr:row>39</xdr:row>
      <xdr:rowOff>18814</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01228390-7894-4CD2-BA88-1DD1B25064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99980" y="5584989"/>
              <a:ext cx="2983278" cy="21605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50799</xdr:colOff>
      <xdr:row>25</xdr:row>
      <xdr:rowOff>126060</xdr:rowOff>
    </xdr:from>
    <xdr:to>
      <xdr:col>20</xdr:col>
      <xdr:colOff>314207</xdr:colOff>
      <xdr:row>27</xdr:row>
      <xdr:rowOff>79021</xdr:rowOff>
    </xdr:to>
    <xdr:sp macro="" textlink="">
      <xdr:nvSpPr>
        <xdr:cNvPr id="57" name="TextBox 56">
          <a:extLst>
            <a:ext uri="{FF2B5EF4-FFF2-40B4-BE49-F238E27FC236}">
              <a16:creationId xmlns:a16="http://schemas.microsoft.com/office/drawing/2014/main" id="{4F295675-4A9F-4244-9987-DB92367A4A9A}"/>
            </a:ext>
          </a:extLst>
        </xdr:cNvPr>
        <xdr:cNvSpPr txBox="1"/>
      </xdr:nvSpPr>
      <xdr:spPr>
        <a:xfrm>
          <a:off x="10107318" y="5064949"/>
          <a:ext cx="3603037" cy="34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rial Black" panose="020B0A04020102020204" pitchFamily="34" charset="0"/>
            </a:rPr>
            <a:t>Attrition by Marital</a:t>
          </a:r>
          <a:r>
            <a:rPr lang="en-IN" sz="1600" baseline="0">
              <a:solidFill>
                <a:srgbClr val="FF0000"/>
              </a:solidFill>
              <a:latin typeface="Arial Black" panose="020B0A04020102020204" pitchFamily="34" charset="0"/>
            </a:rPr>
            <a:t> Status</a:t>
          </a:r>
          <a:endParaRPr lang="en-IN" sz="1600">
            <a:solidFill>
              <a:srgbClr val="FF0000"/>
            </a:solidFill>
            <a:latin typeface="Arial Black" panose="020B0A04020102020204" pitchFamily="34" charset="0"/>
          </a:endParaRPr>
        </a:p>
      </xdr:txBody>
    </xdr:sp>
    <xdr:clientData/>
  </xdr:twoCellAnchor>
  <xdr:twoCellAnchor editAs="oneCell">
    <xdr:from>
      <xdr:col>22</xdr:col>
      <xdr:colOff>150519</xdr:colOff>
      <xdr:row>28</xdr:row>
      <xdr:rowOff>178741</xdr:rowOff>
    </xdr:from>
    <xdr:to>
      <xdr:col>23</xdr:col>
      <xdr:colOff>658518</xdr:colOff>
      <xdr:row>35</xdr:row>
      <xdr:rowOff>56445</xdr:rowOff>
    </xdr:to>
    <mc:AlternateContent xmlns:mc="http://schemas.openxmlformats.org/markup-compatibility/2006" xmlns:a14="http://schemas.microsoft.com/office/drawing/2010/main">
      <mc:Choice Requires="a14">
        <xdr:graphicFrame macro="">
          <xdr:nvGraphicFramePr>
            <xdr:cNvPr id="58" name="Department 1">
              <a:extLst>
                <a:ext uri="{FF2B5EF4-FFF2-40B4-BE49-F238E27FC236}">
                  <a16:creationId xmlns:a16="http://schemas.microsoft.com/office/drawing/2014/main" id="{95AFA865-3C92-4A53-BF91-0E0BE6FA45D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03997" y="5744654"/>
              <a:ext cx="1181651" cy="1269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548723</xdr:colOff>
      <xdr:row>28</xdr:row>
      <xdr:rowOff>132522</xdr:rowOff>
    </xdr:from>
    <xdr:to>
      <xdr:col>22</xdr:col>
      <xdr:colOff>191242</xdr:colOff>
      <xdr:row>38</xdr:row>
      <xdr:rowOff>149088</xdr:rowOff>
    </xdr:to>
    <mc:AlternateContent xmlns:mc="http://schemas.openxmlformats.org/markup-compatibility/2006" xmlns:a14="http://schemas.microsoft.com/office/drawing/2010/main">
      <mc:Choice Requires="a14">
        <xdr:graphicFrame macro="">
          <xdr:nvGraphicFramePr>
            <xdr:cNvPr id="59" name="Education Field 3">
              <a:extLst>
                <a:ext uri="{FF2B5EF4-FFF2-40B4-BE49-F238E27FC236}">
                  <a16:creationId xmlns:a16="http://schemas.microsoft.com/office/drawing/2014/main" id="{E9BD7045-38E9-4622-9C33-C7C529B0062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337071" y="5698435"/>
              <a:ext cx="1655193" cy="200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522562</xdr:colOff>
      <xdr:row>27</xdr:row>
      <xdr:rowOff>81575</xdr:rowOff>
    </xdr:from>
    <xdr:to>
      <xdr:col>21</xdr:col>
      <xdr:colOff>437895</xdr:colOff>
      <xdr:row>28</xdr:row>
      <xdr:rowOff>128611</xdr:rowOff>
    </xdr:to>
    <xdr:sp macro="" textlink="">
      <xdr:nvSpPr>
        <xdr:cNvPr id="60" name="TextBox 59">
          <a:extLst>
            <a:ext uri="{FF2B5EF4-FFF2-40B4-BE49-F238E27FC236}">
              <a16:creationId xmlns:a16="http://schemas.microsoft.com/office/drawing/2014/main" id="{1CEF7251-AEEC-6171-4E15-513B2D685A1E}"/>
            </a:ext>
          </a:extLst>
        </xdr:cNvPr>
        <xdr:cNvSpPr txBox="1"/>
      </xdr:nvSpPr>
      <xdr:spPr>
        <a:xfrm>
          <a:off x="13257357" y="5436452"/>
          <a:ext cx="1251442" cy="245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rPr>
            <a:t>Education Field</a:t>
          </a:r>
        </a:p>
      </xdr:txBody>
    </xdr:sp>
    <xdr:clientData/>
  </xdr:twoCellAnchor>
  <xdr:twoCellAnchor>
    <xdr:from>
      <xdr:col>21</xdr:col>
      <xdr:colOff>519288</xdr:colOff>
      <xdr:row>27</xdr:row>
      <xdr:rowOff>86549</xdr:rowOff>
    </xdr:from>
    <xdr:to>
      <xdr:col>23</xdr:col>
      <xdr:colOff>434621</xdr:colOff>
      <xdr:row>28</xdr:row>
      <xdr:rowOff>133585</xdr:rowOff>
    </xdr:to>
    <xdr:sp macro="" textlink="">
      <xdr:nvSpPr>
        <xdr:cNvPr id="62" name="TextBox 61">
          <a:extLst>
            <a:ext uri="{FF2B5EF4-FFF2-40B4-BE49-F238E27FC236}">
              <a16:creationId xmlns:a16="http://schemas.microsoft.com/office/drawing/2014/main" id="{B1264AAC-336E-4741-B16D-EEDE42E8C788}"/>
            </a:ext>
          </a:extLst>
        </xdr:cNvPr>
        <xdr:cNvSpPr txBox="1"/>
      </xdr:nvSpPr>
      <xdr:spPr>
        <a:xfrm>
          <a:off x="14583362" y="5420549"/>
          <a:ext cx="1251185" cy="24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rPr>
            <a:t>Department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l" refreshedDate="46188.613570601854" createdVersion="8" refreshedVersion="8" minRefreshableVersion="3" recordCount="1470" xr:uid="{4229B807-F79C-4F51-9E7D-2F03DCFACA89}">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97445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2775EF-06DB-412A-91E6-3AA57F70373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540B3-435F-4090-A66F-FA88CE1DFF2D}"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11E4E2-34A1-40F7-BCD3-8580D1D5E783}"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D097F-3A0A-402D-916E-1C351C2D12DB}"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E44809-B29B-4362-B6BB-0134AFBA5BB6}"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1042B3-E494-489C-8760-3406B1BA3388}"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C3976B-4ADE-4D44-8410-E91A69750270}"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9BCC4-0B20-4DBC-997B-3567F1EE456B}"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7C8DC9D-5DF6-49FF-9C98-7021B5C7A274}" sourceName="Gender">
  <pivotTables>
    <pivotTable tabId="13" name="Gender"/>
    <pivotTable tabId="17" name="Attrition by Age Group"/>
    <pivotTable tabId="15" name="Attrition by Job"/>
    <pivotTable tabId="16" name="Department wise attrition"/>
    <pivotTable tabId="14" name="Education by Attrition"/>
    <pivotTable tabId="7" name="KPI"/>
    <pivotTable tabId="18" name="Marital Status"/>
    <pivotTable tabId="12" name="Rating"/>
  </pivotTables>
  <data>
    <tabular pivotCacheId="17974457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7499D69-DE79-4FA2-BAEC-B497993B6F42}" sourceName="Department">
  <pivotTables>
    <pivotTable tabId="17" name="Attrition by Age Group"/>
    <pivotTable tabId="15" name="Attrition by Job"/>
    <pivotTable tabId="16" name="Department wise attrition"/>
    <pivotTable tabId="14" name="Education by Attrition"/>
    <pivotTable tabId="13" name="Gender"/>
    <pivotTable tabId="7" name="KPI"/>
    <pivotTable tabId="18" name="Marital Status"/>
    <pivotTable tabId="12" name="Rating"/>
  </pivotTables>
  <data>
    <tabular pivotCacheId="17974457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55B92A2-D95A-4333-BAF1-0E58505535AA}" sourceName="Education Field">
  <pivotTables>
    <pivotTable tabId="17" name="Attrition by Age Group"/>
    <pivotTable tabId="15" name="Attrition by Job"/>
    <pivotTable tabId="16" name="Department wise attrition"/>
    <pivotTable tabId="14" name="Education by Attrition"/>
    <pivotTable tabId="13" name="Gender"/>
    <pivotTable tabId="7" name="KPI"/>
    <pivotTable tabId="18" name="Marital Status"/>
    <pivotTable tabId="12" name="Rating"/>
  </pivotTables>
  <data>
    <tabular pivotCacheId="179744574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736B56-1432-4D53-B1AB-205BC19122C0}"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624ABE2-6D05-4DFC-AE81-4409B1E6F8A7}" cache="Slicer_Gender2" caption="Gender" rowHeight="260350"/>
  <slicer name="Education Field" xr10:uid="{C3BAB8C9-90C3-4537-8C54-0E292F88B2F0}"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B825D65-96C7-479C-9827-B981E34B518F}" cache="Slicer_Gender2" caption="Gender" rowHeight="260350"/>
  <slicer name="Education Field 1" xr10:uid="{9E256827-DC79-46F1-BECF-EAAA9BB01395}"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90FF96D-D658-456F-A244-F42AE8A74448}" cache="Slicer_Department" caption="Department" rowHeight="260350"/>
  <slicer name="Education Field 2" xr10:uid="{F58F0B85-0E00-4D9E-8C9E-336109337837}"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7C8CAF0-6E4F-49C0-B809-FBA44D80F9AF}" cache="Slicer_Gender2" caption="Gender" columnCount="2" style="s" rowHeight="260350"/>
  <slicer name="Department 1" xr10:uid="{00053CF7-C8B7-443F-AA9C-FBCB21104790}" cache="Slicer_Department" style="s" rowHeight="260350"/>
  <slicer name="Education Field 3" xr10:uid="{3FC67F61-1E69-43DC-8E2E-0C5FA0298A27}" cache="Slicer_Education_Field2" style="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D88F-7EF6-42F6-B541-7AC926E811D7}">
  <dimension ref="A1:M14"/>
  <sheetViews>
    <sheetView workbookViewId="0">
      <selection activeCell="B19" sqref="B19"/>
    </sheetView>
  </sheetViews>
  <sheetFormatPr defaultRowHeight="15.6" x14ac:dyDescent="0.3"/>
  <cols>
    <col min="1" max="1" width="24.5" bestFit="1" customWidth="1"/>
    <col min="2" max="2" width="22.796875" bestFit="1" customWidth="1"/>
    <col min="3" max="3" width="13.5" bestFit="1" customWidth="1"/>
    <col min="4" max="4" width="16.8984375" customWidth="1"/>
    <col min="5" max="5" width="12.69921875" customWidth="1"/>
  </cols>
  <sheetData>
    <row r="1" spans="1:13" ht="16.2" thickBot="1" x14ac:dyDescent="0.35"/>
    <row r="2" spans="1:13" x14ac:dyDescent="0.3">
      <c r="A2" s="20"/>
      <c r="B2" s="21"/>
      <c r="C2" s="21"/>
      <c r="D2" s="21"/>
      <c r="E2" s="21"/>
      <c r="F2" s="21"/>
      <c r="G2" s="21"/>
      <c r="H2" s="21"/>
      <c r="I2" s="21"/>
      <c r="J2" s="21"/>
      <c r="K2" s="21"/>
      <c r="L2" s="21"/>
      <c r="M2" s="22"/>
    </row>
    <row r="3" spans="1:13" x14ac:dyDescent="0.3">
      <c r="A3" s="23" t="s">
        <v>1554</v>
      </c>
      <c r="B3" s="3" t="s">
        <v>1555</v>
      </c>
      <c r="C3" s="2" t="s">
        <v>1556</v>
      </c>
      <c r="D3" s="24"/>
      <c r="E3" s="24"/>
      <c r="F3" s="24"/>
      <c r="G3" s="24"/>
      <c r="H3" s="24"/>
      <c r="I3" s="24"/>
      <c r="J3" s="24"/>
      <c r="K3" s="24"/>
      <c r="L3" s="24"/>
      <c r="M3" s="25"/>
    </row>
    <row r="4" spans="1:13" x14ac:dyDescent="0.3">
      <c r="A4" s="26">
        <v>1470</v>
      </c>
      <c r="B4" s="18">
        <v>237</v>
      </c>
      <c r="C4" s="19">
        <v>36.923809523809524</v>
      </c>
      <c r="D4" s="24"/>
      <c r="E4" s="24"/>
      <c r="F4" s="24"/>
      <c r="G4" s="24"/>
      <c r="H4" s="24"/>
      <c r="I4" s="24"/>
      <c r="J4" s="24"/>
      <c r="K4" s="24"/>
      <c r="L4" s="24"/>
      <c r="M4" s="25"/>
    </row>
    <row r="5" spans="1:13" x14ac:dyDescent="0.3">
      <c r="A5" s="27"/>
      <c r="B5" s="24"/>
      <c r="C5" s="24"/>
      <c r="D5" s="24"/>
      <c r="E5" s="24"/>
      <c r="F5" s="24"/>
      <c r="G5" s="24"/>
      <c r="H5" s="24"/>
      <c r="I5" s="24"/>
      <c r="J5" s="24"/>
      <c r="K5" s="24"/>
      <c r="L5" s="24"/>
      <c r="M5" s="25"/>
    </row>
    <row r="6" spans="1:13" x14ac:dyDescent="0.3">
      <c r="A6" s="27"/>
      <c r="B6" s="24"/>
      <c r="C6" s="24"/>
      <c r="D6" s="24"/>
      <c r="E6" s="24"/>
      <c r="F6" s="24"/>
      <c r="G6" s="24"/>
      <c r="H6" s="24"/>
      <c r="I6" s="24"/>
      <c r="J6" s="24"/>
      <c r="K6" s="24"/>
      <c r="L6" s="24"/>
      <c r="M6" s="25"/>
    </row>
    <row r="7" spans="1:13" x14ac:dyDescent="0.3">
      <c r="A7" s="27" t="s">
        <v>1557</v>
      </c>
      <c r="B7" s="24" t="s">
        <v>1558</v>
      </c>
      <c r="C7" s="24" t="s">
        <v>1559</v>
      </c>
      <c r="D7" s="24" t="s">
        <v>1560</v>
      </c>
      <c r="E7" s="24" t="s">
        <v>1561</v>
      </c>
      <c r="F7" s="24"/>
      <c r="G7" s="24"/>
      <c r="H7" s="24"/>
      <c r="I7" s="24"/>
      <c r="J7" s="24"/>
      <c r="K7" s="24"/>
      <c r="L7" s="24"/>
      <c r="M7" s="25"/>
    </row>
    <row r="8" spans="1:13" x14ac:dyDescent="0.3">
      <c r="A8" s="27">
        <f>GETPIVOTDATA("Count of Employee Number",$A$3)</f>
        <v>1470</v>
      </c>
      <c r="B8" s="24">
        <f>GETPIVOTDATA("Sum of CF_attrition count",$A$3)</f>
        <v>237</v>
      </c>
      <c r="C8" s="28">
        <f>GETPIVOTDATA("Average of Age",$A$3)</f>
        <v>36.923809523809524</v>
      </c>
      <c r="D8" s="24">
        <f>A8-B8</f>
        <v>1233</v>
      </c>
      <c r="E8" s="29">
        <f>B8/A8</f>
        <v>0.16122448979591836</v>
      </c>
      <c r="F8" s="24"/>
      <c r="G8" s="24"/>
      <c r="H8" s="24"/>
      <c r="I8" s="24"/>
      <c r="J8" s="24"/>
      <c r="K8" s="24"/>
      <c r="L8" s="24"/>
      <c r="M8" s="25"/>
    </row>
    <row r="9" spans="1:13" x14ac:dyDescent="0.3">
      <c r="A9" s="27"/>
      <c r="B9" s="24"/>
      <c r="C9" s="24"/>
      <c r="D9" s="24"/>
      <c r="E9" s="24"/>
      <c r="F9" s="24"/>
      <c r="G9" s="24"/>
      <c r="H9" s="24"/>
      <c r="I9" s="24"/>
      <c r="J9" s="24"/>
      <c r="K9" s="24"/>
      <c r="L9" s="24"/>
      <c r="M9" s="25"/>
    </row>
    <row r="10" spans="1:13" x14ac:dyDescent="0.3">
      <c r="A10" s="27"/>
      <c r="B10" s="24"/>
      <c r="C10" s="24"/>
      <c r="D10" s="24"/>
      <c r="E10" s="24"/>
      <c r="F10" s="24"/>
      <c r="G10" s="24"/>
      <c r="H10" s="24"/>
      <c r="I10" s="24"/>
      <c r="J10" s="24"/>
      <c r="K10" s="24"/>
      <c r="L10" s="24"/>
      <c r="M10" s="25"/>
    </row>
    <row r="11" spans="1:13" x14ac:dyDescent="0.3">
      <c r="A11" s="27"/>
      <c r="B11" s="24"/>
      <c r="C11" s="24"/>
      <c r="D11" s="24"/>
      <c r="E11" s="24"/>
      <c r="F11" s="24"/>
      <c r="G11" s="24"/>
      <c r="H11" s="24"/>
      <c r="I11" s="24"/>
      <c r="J11" s="24"/>
      <c r="K11" s="24"/>
      <c r="L11" s="24"/>
      <c r="M11" s="25"/>
    </row>
    <row r="12" spans="1:13" x14ac:dyDescent="0.3">
      <c r="A12" s="27"/>
      <c r="B12" s="24"/>
      <c r="C12" s="24"/>
      <c r="D12" s="24"/>
      <c r="E12" s="24"/>
      <c r="F12" s="24"/>
      <c r="G12" s="24"/>
      <c r="H12" s="24"/>
      <c r="I12" s="24"/>
      <c r="J12" s="24"/>
      <c r="K12" s="24"/>
      <c r="L12" s="24"/>
      <c r="M12" s="25"/>
    </row>
    <row r="13" spans="1:13" x14ac:dyDescent="0.3">
      <c r="A13" s="27"/>
      <c r="B13" s="24"/>
      <c r="C13" s="24"/>
      <c r="D13" s="24"/>
      <c r="E13" s="24"/>
      <c r="F13" s="24"/>
      <c r="G13" s="24"/>
      <c r="H13" s="24"/>
      <c r="I13" s="24"/>
      <c r="J13" s="24"/>
      <c r="K13" s="24"/>
      <c r="L13" s="24"/>
      <c r="M13" s="25"/>
    </row>
    <row r="14" spans="1:13" ht="16.2" thickBot="1" x14ac:dyDescent="0.35">
      <c r="A14" s="30"/>
      <c r="B14" s="31"/>
      <c r="C14" s="31"/>
      <c r="D14" s="31"/>
      <c r="E14" s="31"/>
      <c r="F14" s="31"/>
      <c r="G14" s="31"/>
      <c r="H14" s="31"/>
      <c r="I14" s="31"/>
      <c r="J14" s="31"/>
      <c r="K14" s="31"/>
      <c r="L14" s="31"/>
      <c r="M14" s="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B0DA-C876-435E-BA74-3925AD220F57}">
  <dimension ref="A3:C7"/>
  <sheetViews>
    <sheetView workbookViewId="0">
      <selection activeCell="I14" sqref="I14"/>
    </sheetView>
  </sheetViews>
  <sheetFormatPr defaultRowHeight="15.6" x14ac:dyDescent="0.3"/>
  <cols>
    <col min="1" max="1" width="23.59765625" bestFit="1" customWidth="1"/>
  </cols>
  <sheetData>
    <row r="3" spans="1:3" x14ac:dyDescent="0.3">
      <c r="A3" s="5" t="s">
        <v>1562</v>
      </c>
    </row>
    <row r="4" spans="1:3" x14ac:dyDescent="0.3">
      <c r="A4" s="6">
        <v>2.6265306122448981</v>
      </c>
    </row>
    <row r="6" spans="1:3" x14ac:dyDescent="0.3">
      <c r="A6" t="s">
        <v>1563</v>
      </c>
      <c r="B6" s="7">
        <f>GETPIVOTDATA("Job Satisfaction",$A$3)</f>
        <v>2.6265306122448981</v>
      </c>
      <c r="C6">
        <f>B6/4</f>
        <v>0.65663265306122454</v>
      </c>
    </row>
    <row r="7" spans="1:3" x14ac:dyDescent="0.3">
      <c r="A7" t="s">
        <v>1564</v>
      </c>
      <c r="B7" s="7">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41F6-AC09-42C2-AE28-AF4690857812}">
  <dimension ref="A3:C12"/>
  <sheetViews>
    <sheetView workbookViewId="0">
      <selection activeCell="C11" sqref="C11:C12"/>
    </sheetView>
  </sheetViews>
  <sheetFormatPr defaultRowHeight="15.6" x14ac:dyDescent="0.3"/>
  <cols>
    <col min="1" max="1" width="12.19921875" bestFit="1" customWidth="1"/>
    <col min="2" max="2" width="22.796875" bestFit="1" customWidth="1"/>
  </cols>
  <sheetData>
    <row r="3" spans="1:3" x14ac:dyDescent="0.3">
      <c r="A3" s="8" t="s">
        <v>1565</v>
      </c>
      <c r="B3" s="5" t="s">
        <v>1567</v>
      </c>
    </row>
    <row r="4" spans="1:3" x14ac:dyDescent="0.3">
      <c r="A4" s="9" t="s">
        <v>51</v>
      </c>
      <c r="B4" s="5">
        <v>588</v>
      </c>
    </row>
    <row r="5" spans="1:3" x14ac:dyDescent="0.3">
      <c r="A5" s="10" t="s">
        <v>62</v>
      </c>
      <c r="B5" s="16">
        <v>882</v>
      </c>
    </row>
    <row r="6" spans="1:3" x14ac:dyDescent="0.3">
      <c r="A6" s="11" t="s">
        <v>1566</v>
      </c>
      <c r="B6" s="17">
        <v>1470</v>
      </c>
    </row>
    <row r="11" spans="1:3" x14ac:dyDescent="0.3">
      <c r="A11" t="s">
        <v>51</v>
      </c>
      <c r="B11">
        <f>IFERROR(GETPIVOTDATA("Employee Count",$A$3,"Gender","Female"),0)</f>
        <v>588</v>
      </c>
      <c r="C11" s="12">
        <f>IFERROR(B11/($B$11+$B$12),0)</f>
        <v>0.4</v>
      </c>
    </row>
    <row r="12" spans="1:3" x14ac:dyDescent="0.3">
      <c r="A12" t="s">
        <v>62</v>
      </c>
      <c r="B12">
        <f>IFERROR(GETPIVOTDATA("Employee Count",$A$3,"Gender","Male"),0)</f>
        <v>882</v>
      </c>
      <c r="C12" s="12">
        <f>IFERROR(B12/($B$11+$B$12),0)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8D69-A9DC-4DC6-86FE-0C0E06D73964}">
  <dimension ref="A3:B9"/>
  <sheetViews>
    <sheetView tabSelected="1" workbookViewId="0">
      <selection activeCell="H22" sqref="H22"/>
    </sheetView>
  </sheetViews>
  <sheetFormatPr defaultRowHeight="15.6" x14ac:dyDescent="0.3"/>
  <cols>
    <col min="1" max="1" width="16" bestFit="1" customWidth="1"/>
    <col min="2" max="2" width="22.796875" bestFit="1" customWidth="1"/>
  </cols>
  <sheetData>
    <row r="3" spans="1:2" x14ac:dyDescent="0.3">
      <c r="A3" s="8" t="s">
        <v>1565</v>
      </c>
      <c r="B3" s="5" t="s">
        <v>1555</v>
      </c>
    </row>
    <row r="4" spans="1:2" x14ac:dyDescent="0.3">
      <c r="A4" s="9" t="s">
        <v>134</v>
      </c>
      <c r="B4" s="5">
        <v>5</v>
      </c>
    </row>
    <row r="5" spans="1:2" x14ac:dyDescent="0.3">
      <c r="A5" s="10" t="s">
        <v>65</v>
      </c>
      <c r="B5" s="16">
        <v>31</v>
      </c>
    </row>
    <row r="6" spans="1:2" x14ac:dyDescent="0.3">
      <c r="A6" s="10" t="s">
        <v>55</v>
      </c>
      <c r="B6" s="16">
        <v>44</v>
      </c>
    </row>
    <row r="7" spans="1:2" x14ac:dyDescent="0.3">
      <c r="A7" s="10" t="s">
        <v>71</v>
      </c>
      <c r="B7" s="16">
        <v>58</v>
      </c>
    </row>
    <row r="8" spans="1:2" x14ac:dyDescent="0.3">
      <c r="A8" s="10" t="s">
        <v>77</v>
      </c>
      <c r="B8" s="16">
        <v>99</v>
      </c>
    </row>
    <row r="9" spans="1:2" x14ac:dyDescent="0.3">
      <c r="A9" s="11" t="s">
        <v>1566</v>
      </c>
      <c r="B9" s="17">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EFC2-7241-4286-9AA2-040847303B14}">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59765625" customWidth="1"/>
  </cols>
  <sheetData>
    <row r="3" spans="1:5" x14ac:dyDescent="0.3">
      <c r="A3" s="8" t="s">
        <v>1565</v>
      </c>
      <c r="B3" s="5" t="s">
        <v>1555</v>
      </c>
      <c r="D3" t="s">
        <v>1568</v>
      </c>
      <c r="E3" t="s">
        <v>1569</v>
      </c>
    </row>
    <row r="4" spans="1:5" x14ac:dyDescent="0.3">
      <c r="A4" s="9" t="s">
        <v>83</v>
      </c>
      <c r="B4" s="5">
        <v>9</v>
      </c>
      <c r="D4" t="str">
        <f>A4</f>
        <v>Healthcare Representative</v>
      </c>
      <c r="E4">
        <f>GETPIVOTDATA("CF_attrition count",$A$3,"Job Role",A4)</f>
        <v>9</v>
      </c>
    </row>
    <row r="5" spans="1:5" x14ac:dyDescent="0.3">
      <c r="A5" s="10" t="s">
        <v>163</v>
      </c>
      <c r="B5" s="16">
        <v>12</v>
      </c>
      <c r="D5" t="str">
        <f t="shared" ref="D5:D12" si="0">A5</f>
        <v>Human Resources</v>
      </c>
      <c r="E5">
        <f t="shared" ref="E5:E12" si="1">GETPIVOTDATA("CF_attrition count",$A$3,"Job Role",A5)</f>
        <v>12</v>
      </c>
    </row>
    <row r="6" spans="1:5" x14ac:dyDescent="0.3">
      <c r="A6" s="10" t="s">
        <v>68</v>
      </c>
      <c r="B6" s="16">
        <v>62</v>
      </c>
      <c r="D6" t="str">
        <f t="shared" si="0"/>
        <v>Laboratory Technician</v>
      </c>
      <c r="E6">
        <f t="shared" si="1"/>
        <v>62</v>
      </c>
    </row>
    <row r="7" spans="1:5" x14ac:dyDescent="0.3">
      <c r="A7" s="10" t="s">
        <v>95</v>
      </c>
      <c r="B7" s="16">
        <v>5</v>
      </c>
      <c r="D7" t="str">
        <f t="shared" si="0"/>
        <v>Manager</v>
      </c>
      <c r="E7">
        <f t="shared" si="1"/>
        <v>5</v>
      </c>
    </row>
    <row r="8" spans="1:5" x14ac:dyDescent="0.3">
      <c r="A8" s="10" t="s">
        <v>81</v>
      </c>
      <c r="B8" s="16">
        <v>10</v>
      </c>
      <c r="D8" t="str">
        <f t="shared" si="0"/>
        <v>Manufacturing Director</v>
      </c>
      <c r="E8">
        <f t="shared" si="1"/>
        <v>10</v>
      </c>
    </row>
    <row r="9" spans="1:5" x14ac:dyDescent="0.3">
      <c r="A9" s="10" t="s">
        <v>101</v>
      </c>
      <c r="B9" s="16">
        <v>2</v>
      </c>
      <c r="D9" t="str">
        <f t="shared" si="0"/>
        <v>Research Director</v>
      </c>
      <c r="E9">
        <f t="shared" si="1"/>
        <v>2</v>
      </c>
    </row>
    <row r="10" spans="1:5" x14ac:dyDescent="0.3">
      <c r="A10" s="10" t="s">
        <v>63</v>
      </c>
      <c r="B10" s="16">
        <v>47</v>
      </c>
      <c r="D10" t="str">
        <f t="shared" si="0"/>
        <v>Research Scientist</v>
      </c>
      <c r="E10">
        <f t="shared" si="1"/>
        <v>47</v>
      </c>
    </row>
    <row r="11" spans="1:5" x14ac:dyDescent="0.3">
      <c r="A11" s="10" t="s">
        <v>52</v>
      </c>
      <c r="B11" s="16">
        <v>57</v>
      </c>
      <c r="D11" t="str">
        <f t="shared" si="0"/>
        <v>Sales Executive</v>
      </c>
      <c r="E11">
        <f t="shared" si="1"/>
        <v>57</v>
      </c>
    </row>
    <row r="12" spans="1:5" x14ac:dyDescent="0.3">
      <c r="A12" s="10" t="s">
        <v>99</v>
      </c>
      <c r="B12" s="16">
        <v>33</v>
      </c>
      <c r="D12" t="str">
        <f t="shared" si="0"/>
        <v>Sales Representative</v>
      </c>
      <c r="E12">
        <f t="shared" si="1"/>
        <v>33</v>
      </c>
    </row>
    <row r="13" spans="1:5" x14ac:dyDescent="0.3">
      <c r="A13" s="11" t="s">
        <v>1566</v>
      </c>
      <c r="B13" s="1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50C6-2EAA-4BCF-9A17-ED429C21EA7E}">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8" t="s">
        <v>1565</v>
      </c>
      <c r="B3" s="5" t="s">
        <v>1555</v>
      </c>
    </row>
    <row r="4" spans="1:2" x14ac:dyDescent="0.3">
      <c r="A4" s="9" t="s">
        <v>161</v>
      </c>
      <c r="B4" s="13">
        <v>5.0632911392405063E-2</v>
      </c>
    </row>
    <row r="5" spans="1:2" x14ac:dyDescent="0.3">
      <c r="A5" s="10" t="s">
        <v>60</v>
      </c>
      <c r="B5" s="14">
        <v>0.56118143459915615</v>
      </c>
    </row>
    <row r="6" spans="1:2" x14ac:dyDescent="0.3">
      <c r="A6" s="10" t="s">
        <v>48</v>
      </c>
      <c r="B6" s="14">
        <v>0.3881856540084388</v>
      </c>
    </row>
    <row r="7" spans="1:2" x14ac:dyDescent="0.3">
      <c r="A7" s="11" t="s">
        <v>1566</v>
      </c>
      <c r="B7" s="1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EAFC-79B4-4692-BC4A-5D41E3D8B664}">
  <dimension ref="A3:B9"/>
  <sheetViews>
    <sheetView workbookViewId="0">
      <selection activeCell="K20" sqref="K20"/>
    </sheetView>
  </sheetViews>
  <sheetFormatPr defaultRowHeight="15.6" x14ac:dyDescent="0.3"/>
  <cols>
    <col min="1" max="1" width="12.19921875" bestFit="1" customWidth="1"/>
    <col min="2" max="2" width="22.796875" bestFit="1" customWidth="1"/>
  </cols>
  <sheetData>
    <row r="3" spans="1:2" x14ac:dyDescent="0.3">
      <c r="A3" s="8" t="s">
        <v>1565</v>
      </c>
      <c r="B3" s="5" t="s">
        <v>1555</v>
      </c>
    </row>
    <row r="4" spans="1:2" x14ac:dyDescent="0.3">
      <c r="A4" s="9" t="s">
        <v>69</v>
      </c>
      <c r="B4" s="5">
        <v>112</v>
      </c>
    </row>
    <row r="5" spans="1:2" x14ac:dyDescent="0.3">
      <c r="A5" s="10" t="s">
        <v>46</v>
      </c>
      <c r="B5" s="16">
        <v>51</v>
      </c>
    </row>
    <row r="6" spans="1:2" x14ac:dyDescent="0.3">
      <c r="A6" s="10" t="s">
        <v>92</v>
      </c>
      <c r="B6" s="16">
        <v>38</v>
      </c>
    </row>
    <row r="7" spans="1:2" x14ac:dyDescent="0.3">
      <c r="A7" s="10" t="s">
        <v>58</v>
      </c>
      <c r="B7" s="16">
        <v>25</v>
      </c>
    </row>
    <row r="8" spans="1:2" x14ac:dyDescent="0.3">
      <c r="A8" s="10" t="s">
        <v>75</v>
      </c>
      <c r="B8" s="16">
        <v>11</v>
      </c>
    </row>
    <row r="9" spans="1:2" x14ac:dyDescent="0.3">
      <c r="A9" s="11" t="s">
        <v>1566</v>
      </c>
      <c r="B9" s="1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49BF-956F-4C51-A4A1-280EB6AEC096}">
  <dimension ref="A3:E7"/>
  <sheetViews>
    <sheetView workbookViewId="0">
      <selection activeCell="B5" sqref="B5"/>
    </sheetView>
  </sheetViews>
  <sheetFormatPr defaultRowHeight="15.6" x14ac:dyDescent="0.3"/>
  <cols>
    <col min="1" max="1" width="12.19921875" bestFit="1" customWidth="1"/>
    <col min="2" max="2" width="16" bestFit="1" customWidth="1"/>
    <col min="4" max="4" width="12.69921875" customWidth="1"/>
  </cols>
  <sheetData>
    <row r="3" spans="1:5" x14ac:dyDescent="0.3">
      <c r="A3" s="8" t="s">
        <v>1565</v>
      </c>
      <c r="B3" s="5" t="s">
        <v>1570</v>
      </c>
      <c r="D3" t="s">
        <v>10</v>
      </c>
      <c r="E3" t="s">
        <v>0</v>
      </c>
    </row>
    <row r="4" spans="1:5" x14ac:dyDescent="0.3">
      <c r="A4" s="9" t="s">
        <v>79</v>
      </c>
      <c r="B4" s="5">
        <v>327</v>
      </c>
      <c r="D4" t="str">
        <f>A4</f>
        <v>Divorced</v>
      </c>
      <c r="E4">
        <f>GETPIVOTDATA("Attrition",$A$3,"Marital Status",A4)</f>
        <v>327</v>
      </c>
    </row>
    <row r="5" spans="1:5" x14ac:dyDescent="0.3">
      <c r="A5" s="10" t="s">
        <v>53</v>
      </c>
      <c r="B5" s="16">
        <v>470</v>
      </c>
      <c r="D5" t="str">
        <f>A5</f>
        <v>Single</v>
      </c>
      <c r="E5">
        <f>GETPIVOTDATA("Attrition",$A$3,"Marital Status",A5)</f>
        <v>470</v>
      </c>
    </row>
    <row r="6" spans="1:5" x14ac:dyDescent="0.3">
      <c r="A6" s="10" t="s">
        <v>64</v>
      </c>
      <c r="B6" s="16">
        <v>673</v>
      </c>
      <c r="D6" t="str">
        <f>A6</f>
        <v>Married</v>
      </c>
      <c r="E6">
        <f>GETPIVOTDATA("Attrition",$A$3,"Marital Status",A6)</f>
        <v>673</v>
      </c>
    </row>
    <row r="7" spans="1:5" x14ac:dyDescent="0.3">
      <c r="A7" s="11" t="s">
        <v>1566</v>
      </c>
      <c r="B7" s="1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7" sqref="E7"/>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2E9-1611-49DB-B7A1-1FFC696F1969}">
  <dimension ref="A1"/>
  <sheetViews>
    <sheetView showGridLines="0" topLeftCell="K17" zoomScale="92" zoomScaleNormal="100" workbookViewId="0">
      <selection activeCell="AB30" sqref="AB30"/>
    </sheetView>
  </sheetViews>
  <sheetFormatPr defaultRowHeight="15.6" x14ac:dyDescent="0.3"/>
  <cols>
    <col min="1" max="1" width="8.796875" style="4"/>
    <col min="2" max="2" width="9.296875" style="4" customWidth="1"/>
    <col min="3"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wise Attrition</vt:lpstr>
      <vt:lpstr>Attrition by Job</vt:lpstr>
      <vt:lpstr>Department wise attrition</vt:lpstr>
      <vt:lpstr>Attrition by Age Group</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arunlaxane123@gmail.com</cp:lastModifiedBy>
  <dcterms:created xsi:type="dcterms:W3CDTF">2022-12-29T16:02:46Z</dcterms:created>
  <dcterms:modified xsi:type="dcterms:W3CDTF">2026-06-23T11:40:55Z</dcterms:modified>
</cp:coreProperties>
</file>